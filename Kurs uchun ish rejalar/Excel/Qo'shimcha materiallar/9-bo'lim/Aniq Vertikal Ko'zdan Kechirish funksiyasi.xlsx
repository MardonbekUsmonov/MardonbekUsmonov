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donbek_97\video mp_4\darslik videolar\VLOG_UZ darslari\Excell\Qo'shimcha materiallar\Qo'shimcha materiallar\9-bo'lim\"/>
    </mc:Choice>
  </mc:AlternateContent>
  <bookViews>
    <workbookView xWindow="480" yWindow="360" windowWidth="19815" windowHeight="7650" activeTab="2"/>
  </bookViews>
  <sheets>
    <sheet name="Ishlagan kuni" sheetId="4" r:id="rId1"/>
    <sheet name="Ish-haqi" sheetId="1" r:id="rId2"/>
    <sheet name="Patta" sheetId="2" r:id="rId3"/>
  </sheets>
  <definedNames>
    <definedName name="qaydnoma">'Ish-haqi'!$A$3:$E$22</definedName>
    <definedName name="_xlnm.Print_Area" localSheetId="2">Patta!$A$1:$K$26</definedName>
  </definedNames>
  <calcPr calcId="162913"/>
</workbook>
</file>

<file path=xl/calcChain.xml><?xml version="1.0" encoding="utf-8"?>
<calcChain xmlns="http://schemas.openxmlformats.org/spreadsheetml/2006/main">
  <c r="E20" i="2" l="1"/>
  <c r="F18" i="2"/>
  <c r="E7" i="2"/>
  <c r="F5" i="2"/>
  <c r="G7" i="1"/>
  <c r="AG16" i="4" l="1"/>
  <c r="B16" i="1" s="1"/>
  <c r="C16" i="1" s="1"/>
  <c r="D16" i="1" s="1"/>
  <c r="E16" i="1" s="1"/>
  <c r="AG4" i="4" l="1"/>
  <c r="B4" i="1" s="1"/>
  <c r="C4" i="1" s="1"/>
  <c r="D4" i="1" s="1"/>
  <c r="E4" i="1" s="1"/>
  <c r="AG5" i="4"/>
  <c r="B5" i="1" s="1"/>
  <c r="C5" i="1" s="1"/>
  <c r="D5" i="1" s="1"/>
  <c r="E5" i="1" s="1"/>
  <c r="AG6" i="4"/>
  <c r="B6" i="1" s="1"/>
  <c r="C6" i="1" s="1"/>
  <c r="D6" i="1" s="1"/>
  <c r="E6" i="1" s="1"/>
  <c r="AG7" i="4"/>
  <c r="B7" i="1" s="1"/>
  <c r="C7" i="1" s="1"/>
  <c r="D7" i="1" s="1"/>
  <c r="E7" i="1" s="1"/>
  <c r="AG8" i="4"/>
  <c r="B8" i="1" s="1"/>
  <c r="C8" i="1" s="1"/>
  <c r="D8" i="1" s="1"/>
  <c r="E8" i="1" s="1"/>
  <c r="AG9" i="4"/>
  <c r="B9" i="1" s="1"/>
  <c r="C9" i="1" s="1"/>
  <c r="D9" i="1" s="1"/>
  <c r="E9" i="1" s="1"/>
  <c r="AG10" i="4"/>
  <c r="B10" i="1" s="1"/>
  <c r="C10" i="1" s="1"/>
  <c r="D10" i="1" s="1"/>
  <c r="E10" i="1" s="1"/>
  <c r="AG11" i="4"/>
  <c r="B11" i="1" s="1"/>
  <c r="C11" i="1" s="1"/>
  <c r="D11" i="1" s="1"/>
  <c r="E11" i="1" s="1"/>
  <c r="AG12" i="4"/>
  <c r="B12" i="1" s="1"/>
  <c r="C12" i="1" s="1"/>
  <c r="D12" i="1" s="1"/>
  <c r="E12" i="1" s="1"/>
  <c r="AG13" i="4"/>
  <c r="B13" i="1" s="1"/>
  <c r="C13" i="1" s="1"/>
  <c r="D13" i="1" s="1"/>
  <c r="E13" i="1" s="1"/>
  <c r="AG14" i="4"/>
  <c r="B14" i="1" s="1"/>
  <c r="C14" i="1" s="1"/>
  <c r="D14" i="1" s="1"/>
  <c r="E14" i="1" s="1"/>
  <c r="AG15" i="4"/>
  <c r="B15" i="1" s="1"/>
  <c r="C15" i="1" s="1"/>
  <c r="D15" i="1" s="1"/>
  <c r="E15" i="1" s="1"/>
  <c r="AG17" i="4"/>
  <c r="B17" i="1" s="1"/>
  <c r="C17" i="1" s="1"/>
  <c r="D17" i="1" s="1"/>
  <c r="E17" i="1" s="1"/>
  <c r="AG18" i="4"/>
  <c r="B18" i="1" s="1"/>
  <c r="C18" i="1" s="1"/>
  <c r="D18" i="1" s="1"/>
  <c r="E18" i="1" s="1"/>
  <c r="AG19" i="4"/>
  <c r="B19" i="1" s="1"/>
  <c r="C19" i="1" s="1"/>
  <c r="D19" i="1" s="1"/>
  <c r="E19" i="1" s="1"/>
  <c r="AG20" i="4"/>
  <c r="B20" i="1" s="1"/>
  <c r="C20" i="1" s="1"/>
  <c r="D20" i="1" s="1"/>
  <c r="E20" i="1" s="1"/>
  <c r="AG21" i="4"/>
  <c r="B21" i="1" s="1"/>
  <c r="C21" i="1" s="1"/>
  <c r="D21" i="1" s="1"/>
  <c r="E21" i="1" s="1"/>
  <c r="AG22" i="4"/>
  <c r="B22" i="1" s="1"/>
  <c r="C22" i="1" s="1"/>
  <c r="D22" i="1" s="1"/>
  <c r="E22" i="1" s="1"/>
  <c r="AG3" i="4"/>
  <c r="B3" i="1" s="1"/>
  <c r="C3" i="1" s="1"/>
  <c r="D3" i="1" s="1"/>
  <c r="E3" i="1" s="1"/>
</calcChain>
</file>

<file path=xl/sharedStrings.xml><?xml version="1.0" encoding="utf-8"?>
<sst xmlns="http://schemas.openxmlformats.org/spreadsheetml/2006/main" count="78" uniqueCount="46">
  <si>
    <t>Toshmatov Aziz</t>
  </si>
  <si>
    <t>Teshayev Jovlon</t>
  </si>
  <si>
    <t>Sobirov Sobir</t>
  </si>
  <si>
    <t>Eshmatov Eshmat</t>
  </si>
  <si>
    <t>Olimov Olim</t>
  </si>
  <si>
    <t>Temurov Temur</t>
  </si>
  <si>
    <t>G'ulomov G'ulom</t>
  </si>
  <si>
    <t>Jo'rayev Jo'ra</t>
  </si>
  <si>
    <t>Zuparova Kamola</t>
  </si>
  <si>
    <t>Holiqova Sabohat</t>
  </si>
  <si>
    <t>Toshmatov Toshmat</t>
  </si>
  <si>
    <t>Boltayev Bolta</t>
  </si>
  <si>
    <t>Teshayev Tesha</t>
  </si>
  <si>
    <t>Sobirov Salim</t>
  </si>
  <si>
    <t>Ish-haqi</t>
  </si>
  <si>
    <t>Hisoblangan ish-haqi</t>
  </si>
  <si>
    <t>Stavkasi</t>
  </si>
  <si>
    <t>Ta'rif</t>
  </si>
  <si>
    <t>I.F.O</t>
  </si>
  <si>
    <r>
      <rPr>
        <sz val="13"/>
        <color theme="3"/>
        <rFont val="Calibri"/>
        <family val="2"/>
        <charset val="204"/>
        <scheme val="minor"/>
      </rPr>
      <t>Mart oyi uchun Ish-haqi hisoblab chiqarish bo'yicha</t>
    </r>
    <r>
      <rPr>
        <b/>
        <sz val="13"/>
        <color theme="3"/>
        <rFont val="Calibri"/>
        <family val="2"/>
        <charset val="204"/>
        <scheme val="minor"/>
      </rPr>
      <t xml:space="preserve">
</t>
    </r>
    <r>
      <rPr>
        <b/>
        <sz val="14"/>
        <color theme="3"/>
        <rFont val="Calibri"/>
        <family val="2"/>
        <charset val="204"/>
        <scheme val="minor"/>
      </rPr>
      <t>Qaydnoma № 155</t>
    </r>
  </si>
  <si>
    <t>Xurmatli</t>
  </si>
  <si>
    <t>pul miqdorida ish-haqi hisoblandi.</t>
  </si>
  <si>
    <t>E.Toshmatov</t>
  </si>
  <si>
    <t>Ushbu chekni firmamiz ofislaridan birida naxd pul ko'rinishida yoki elektron hisobingizga o'tkazib olishingiz mumkin.</t>
  </si>
  <si>
    <t>Hisob raqami</t>
  </si>
  <si>
    <t># 905590046</t>
  </si>
  <si>
    <t>"Eshmat servis" MChJ</t>
  </si>
  <si>
    <t># 905590047</t>
  </si>
  <si>
    <t>Xolmatov Aziz</t>
  </si>
  <si>
    <t>Sobirov Aziz</t>
  </si>
  <si>
    <t>Boltayev Komron</t>
  </si>
  <si>
    <t>Yangi  tarif  bo'yicha  sizga</t>
  </si>
  <si>
    <t>siz   ushbu   oyda</t>
  </si>
  <si>
    <r>
      <t xml:space="preserve">Xurmat bilan, "Eshmat servis" MChj hisob bo'limi boshlig'I o'rinbosari,    </t>
    </r>
    <r>
      <rPr>
        <i/>
        <sz val="9"/>
        <color theme="1"/>
        <rFont val="Calibri"/>
        <family val="2"/>
        <charset val="204"/>
        <scheme val="minor"/>
      </rPr>
      <t>imzo</t>
    </r>
  </si>
  <si>
    <r>
      <t xml:space="preserve">Xurmat bilan, "Eshmat servis" MChj hisob bo'limi boshlig'I o'rinbosari,   </t>
    </r>
    <r>
      <rPr>
        <i/>
        <sz val="9"/>
        <color theme="1"/>
        <rFont val="Calibri"/>
        <family val="2"/>
        <charset val="204"/>
        <scheme val="minor"/>
      </rPr>
      <t xml:space="preserve"> imzo  </t>
    </r>
  </si>
  <si>
    <t>Jamolova Go'zal</t>
  </si>
  <si>
    <t>Hurramova Muqaddas</t>
  </si>
  <si>
    <t>Mashalova Salima</t>
  </si>
  <si>
    <t>Jami ishlagan kuni</t>
  </si>
  <si>
    <t>Mart oyi uchun ishchilarning davomati</t>
  </si>
  <si>
    <t>Ushlab qolinsin</t>
  </si>
  <si>
    <t>Ushlab qolinadi</t>
  </si>
  <si>
    <r>
      <rPr>
        <b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oyda</t>
    </r>
    <r>
      <rPr>
        <b/>
        <sz val="11"/>
        <color theme="1"/>
        <rFont val="Calibri"/>
        <family val="2"/>
        <charset val="204"/>
        <scheme val="minor"/>
      </rPr>
      <t xml:space="preserve"> 26 </t>
    </r>
    <r>
      <rPr>
        <sz val="11"/>
        <color theme="1"/>
        <rFont val="Calibri"/>
        <family val="2"/>
        <charset val="204"/>
        <scheme val="minor"/>
      </rPr>
      <t xml:space="preserve">kun ishlagan </t>
    </r>
    <r>
      <rPr>
        <b/>
        <sz val="11"/>
        <color theme="1"/>
        <rFont val="Calibri"/>
        <family val="2"/>
        <charset val="204"/>
        <scheme val="minor"/>
      </rPr>
      <t>2 mln</t>
    </r>
    <r>
      <rPr>
        <sz val="11"/>
        <color theme="1"/>
        <rFont val="Calibri"/>
        <family val="2"/>
        <charset val="204"/>
        <scheme val="minor"/>
      </rPr>
      <t xml:space="preserve"> so'm oladi</t>
    </r>
  </si>
  <si>
    <t>Kuniga</t>
  </si>
  <si>
    <t>Ishlagan kuni</t>
  </si>
  <si>
    <t>kun mehnat qildingiz.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</si>
</sst>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\ [$so'm-443]"/>
    <numFmt numFmtId="165" formatCode="#,##0.00\ [$so'm-443]"/>
    <numFmt numFmtId="166" formatCode="d/m;@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3"/>
      <color theme="3"/>
      <name val="Calibri"/>
      <family val="2"/>
      <charset val="204"/>
      <scheme val="minor"/>
    </font>
    <font>
      <b/>
      <sz val="14"/>
      <color theme="3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5" fillId="0" borderId="3" applyNumberFormat="0" applyFill="0" applyAlignment="0" applyProtection="0"/>
  </cellStyleXfs>
  <cellXfs count="54">
    <xf numFmtId="0" fontId="0" fillId="0" borderId="0" xfId="0"/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3" xfId="4" applyAlignment="1">
      <alignment horizontal="center" vertical="center" wrapText="1"/>
    </xf>
    <xf numFmtId="9" fontId="5" fillId="0" borderId="3" xfId="4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3" xfId="4" applyNumberFormat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65" fontId="0" fillId="4" borderId="13" xfId="0" applyNumberFormat="1" applyFill="1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165" fontId="0" fillId="0" borderId="0" xfId="0" applyNumberFormat="1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166" fontId="4" fillId="5" borderId="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left" vertical="center" wrapText="1"/>
    </xf>
    <xf numFmtId="166" fontId="4" fillId="6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65" fontId="0" fillId="4" borderId="13" xfId="0" applyNumberFormat="1" applyFill="1" applyBorder="1" applyAlignment="1">
      <alignment horizontal="right" vertical="center" wrapText="1"/>
    </xf>
    <xf numFmtId="166" fontId="9" fillId="5" borderId="0" xfId="0" applyNumberFormat="1" applyFont="1" applyFill="1" applyBorder="1" applyAlignment="1">
      <alignment horizontal="center" vertical="center" wrapText="1"/>
    </xf>
    <xf numFmtId="9" fontId="0" fillId="4" borderId="13" xfId="1" applyNumberFormat="1" applyFont="1" applyFill="1" applyBorder="1" applyAlignment="1">
      <alignment vertical="center" wrapText="1"/>
    </xf>
    <xf numFmtId="0" fontId="5" fillId="8" borderId="0" xfId="0" applyFont="1" applyFill="1" applyBorder="1" applyAlignment="1">
      <alignment horizontal="center" vertical="center"/>
    </xf>
    <xf numFmtId="164" fontId="5" fillId="8" borderId="0" xfId="0" applyNumberFormat="1" applyFont="1" applyFill="1" applyBorder="1" applyAlignment="1">
      <alignment horizontal="left" vertical="center" wrapText="1"/>
    </xf>
    <xf numFmtId="0" fontId="3" fillId="0" borderId="2" xfId="3" applyAlignment="1">
      <alignment horizontal="left" vertical="center" wrapText="1"/>
    </xf>
    <xf numFmtId="0" fontId="2" fillId="2" borderId="1" xfId="2" applyFill="1" applyAlignment="1">
      <alignment horizontal="center" wrapText="1"/>
    </xf>
    <xf numFmtId="0" fontId="3" fillId="0" borderId="2" xfId="3" applyAlignment="1">
      <alignment horizontal="center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vertical="center" wrapText="1"/>
    </xf>
    <xf numFmtId="0" fontId="0" fillId="7" borderId="16" xfId="0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</cellXfs>
  <cellStyles count="5">
    <cellStyle name="Заголовок 1" xfId="2" builtinId="16"/>
    <cellStyle name="Заголовок 2" xfId="3" builtinId="17"/>
    <cellStyle name="Итог" xfId="4" builtinId="25"/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1</xdr:row>
      <xdr:rowOff>47446</xdr:rowOff>
    </xdr:from>
    <xdr:to>
      <xdr:col>9</xdr:col>
      <xdr:colOff>1381125</xdr:colOff>
      <xdr:row>5</xdr:row>
      <xdr:rowOff>185559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6525" y="247471"/>
          <a:ext cx="1238250" cy="928688"/>
        </a:xfrm>
        <a:prstGeom prst="rect">
          <a:avLst/>
        </a:prstGeom>
      </xdr:spPr>
    </xdr:pic>
    <xdr:clientData/>
  </xdr:twoCellAnchor>
  <xdr:twoCellAnchor editAs="oneCell">
    <xdr:from>
      <xdr:col>9</xdr:col>
      <xdr:colOff>171449</xdr:colOff>
      <xdr:row>14</xdr:row>
      <xdr:rowOff>76199</xdr:rowOff>
    </xdr:from>
    <xdr:to>
      <xdr:col>9</xdr:col>
      <xdr:colOff>1343024</xdr:colOff>
      <xdr:row>18</xdr:row>
      <xdr:rowOff>2380</xdr:rowOff>
    </xdr:to>
    <xdr:pic>
      <xdr:nvPicPr>
        <xdr:cNvPr id="3" name="Рисунок 2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49" y="2886074"/>
          <a:ext cx="1171575" cy="878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9"/>
  <sheetViews>
    <sheetView zoomScale="90" zoomScaleNormal="90" workbookViewId="0">
      <selection activeCell="A13" sqref="A13"/>
    </sheetView>
  </sheetViews>
  <sheetFormatPr defaultRowHeight="15" x14ac:dyDescent="0.25"/>
  <cols>
    <col min="1" max="1" width="21.85546875" style="1" customWidth="1"/>
    <col min="2" max="10" width="4.140625" style="1" bestFit="1" customWidth="1"/>
    <col min="11" max="29" width="5.28515625" style="1" bestFit="1" customWidth="1"/>
    <col min="30" max="30" width="5.28515625" style="1" customWidth="1"/>
    <col min="31" max="32" width="5.28515625" style="1" bestFit="1" customWidth="1"/>
    <col min="33" max="33" width="14.140625" style="4" customWidth="1"/>
    <col min="34" max="16384" width="9.140625" style="1"/>
  </cols>
  <sheetData>
    <row r="1" spans="1:33" ht="26.25" customHeight="1" thickBot="1" x14ac:dyDescent="0.3">
      <c r="A1" s="43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3" s="4" customFormat="1" ht="28.5" customHeight="1" thickTop="1" x14ac:dyDescent="0.25">
      <c r="A2" s="32" t="s">
        <v>18</v>
      </c>
      <c r="B2" s="36">
        <v>42064</v>
      </c>
      <c r="C2" s="33">
        <v>42065</v>
      </c>
      <c r="D2" s="33">
        <v>42066</v>
      </c>
      <c r="E2" s="33">
        <v>42067</v>
      </c>
      <c r="F2" s="33">
        <v>42068</v>
      </c>
      <c r="G2" s="33">
        <v>42069</v>
      </c>
      <c r="H2" s="33">
        <v>42070</v>
      </c>
      <c r="I2" s="36">
        <v>42071</v>
      </c>
      <c r="J2" s="33">
        <v>42072</v>
      </c>
      <c r="K2" s="33">
        <v>42073</v>
      </c>
      <c r="L2" s="33">
        <v>42074</v>
      </c>
      <c r="M2" s="33">
        <v>42075</v>
      </c>
      <c r="N2" s="33">
        <v>42076</v>
      </c>
      <c r="O2" s="33">
        <v>42077</v>
      </c>
      <c r="P2" s="36">
        <v>42078</v>
      </c>
      <c r="Q2" s="33">
        <v>42079</v>
      </c>
      <c r="R2" s="33">
        <v>42080</v>
      </c>
      <c r="S2" s="33">
        <v>42081</v>
      </c>
      <c r="T2" s="33">
        <v>42082</v>
      </c>
      <c r="U2" s="33">
        <v>42083</v>
      </c>
      <c r="V2" s="33">
        <v>42084</v>
      </c>
      <c r="W2" s="36">
        <v>42085</v>
      </c>
      <c r="X2" s="33">
        <v>42086</v>
      </c>
      <c r="Y2" s="33">
        <v>42087</v>
      </c>
      <c r="Z2" s="33">
        <v>42088</v>
      </c>
      <c r="AA2" s="33">
        <v>42089</v>
      </c>
      <c r="AB2" s="33">
        <v>42090</v>
      </c>
      <c r="AC2" s="33">
        <v>42091</v>
      </c>
      <c r="AD2" s="36">
        <v>42092</v>
      </c>
      <c r="AE2" s="33">
        <v>42093</v>
      </c>
      <c r="AF2" s="33">
        <v>42094</v>
      </c>
      <c r="AG2" s="39" t="s">
        <v>38</v>
      </c>
    </row>
    <row r="3" spans="1:33" x14ac:dyDescent="0.25">
      <c r="A3" s="30" t="s">
        <v>0</v>
      </c>
      <c r="B3" s="37"/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1</v>
      </c>
      <c r="I3" s="37"/>
      <c r="J3" s="31">
        <v>1</v>
      </c>
      <c r="K3" s="31">
        <v>1</v>
      </c>
      <c r="L3" s="31">
        <v>1</v>
      </c>
      <c r="M3" s="31">
        <v>1</v>
      </c>
      <c r="N3" s="31">
        <v>1</v>
      </c>
      <c r="O3" s="31">
        <v>1</v>
      </c>
      <c r="P3" s="37"/>
      <c r="Q3" s="31">
        <v>1</v>
      </c>
      <c r="R3" s="31">
        <v>1</v>
      </c>
      <c r="S3" s="31">
        <v>1</v>
      </c>
      <c r="T3" s="31">
        <v>1</v>
      </c>
      <c r="U3" s="31">
        <v>1</v>
      </c>
      <c r="V3" s="31">
        <v>1</v>
      </c>
      <c r="W3" s="37"/>
      <c r="X3" s="31">
        <v>1</v>
      </c>
      <c r="Y3" s="31">
        <v>1</v>
      </c>
      <c r="Z3" s="31">
        <v>1</v>
      </c>
      <c r="AA3" s="31">
        <v>1</v>
      </c>
      <c r="AB3" s="31">
        <v>1</v>
      </c>
      <c r="AC3" s="31">
        <v>1</v>
      </c>
      <c r="AD3" s="37"/>
      <c r="AE3" s="31">
        <v>1</v>
      </c>
      <c r="AF3" s="31">
        <v>1</v>
      </c>
      <c r="AG3" s="34">
        <f>SUM(C3:AF3)</f>
        <v>26</v>
      </c>
    </row>
    <row r="4" spans="1:33" x14ac:dyDescent="0.25">
      <c r="A4" s="29" t="s">
        <v>30</v>
      </c>
      <c r="B4" s="37"/>
      <c r="C4" s="31">
        <v>1</v>
      </c>
      <c r="D4" s="31">
        <v>1</v>
      </c>
      <c r="E4" s="31">
        <v>0</v>
      </c>
      <c r="F4" s="31">
        <v>0</v>
      </c>
      <c r="G4" s="31">
        <v>1</v>
      </c>
      <c r="H4" s="31">
        <v>1</v>
      </c>
      <c r="I4" s="37"/>
      <c r="J4" s="31">
        <v>0</v>
      </c>
      <c r="K4" s="31">
        <v>1</v>
      </c>
      <c r="L4" s="31">
        <v>1</v>
      </c>
      <c r="M4" s="31">
        <v>0</v>
      </c>
      <c r="N4" s="31">
        <v>0</v>
      </c>
      <c r="O4" s="31">
        <v>1</v>
      </c>
      <c r="P4" s="37"/>
      <c r="Q4" s="31">
        <v>0</v>
      </c>
      <c r="R4" s="31">
        <v>0</v>
      </c>
      <c r="S4" s="31">
        <v>1</v>
      </c>
      <c r="T4" s="31">
        <v>1</v>
      </c>
      <c r="U4" s="31">
        <v>0</v>
      </c>
      <c r="V4" s="31">
        <v>0</v>
      </c>
      <c r="W4" s="37"/>
      <c r="X4" s="31">
        <v>1</v>
      </c>
      <c r="Y4" s="31">
        <v>0</v>
      </c>
      <c r="Z4" s="31">
        <v>0</v>
      </c>
      <c r="AA4" s="31">
        <v>1</v>
      </c>
      <c r="AB4" s="31">
        <v>1</v>
      </c>
      <c r="AC4" s="31">
        <v>0</v>
      </c>
      <c r="AD4" s="37"/>
      <c r="AE4" s="31">
        <v>1</v>
      </c>
      <c r="AF4" s="31">
        <v>1</v>
      </c>
      <c r="AG4" s="34">
        <f t="shared" ref="AG4:AG22" si="0">SUM(C4:AF4)</f>
        <v>14</v>
      </c>
    </row>
    <row r="5" spans="1:33" x14ac:dyDescent="0.25">
      <c r="A5" s="29" t="s">
        <v>1</v>
      </c>
      <c r="B5" s="37"/>
      <c r="C5" s="31">
        <v>1</v>
      </c>
      <c r="D5" s="31">
        <v>1</v>
      </c>
      <c r="E5" s="31">
        <v>0</v>
      </c>
      <c r="F5" s="31">
        <v>1</v>
      </c>
      <c r="G5" s="31">
        <v>1</v>
      </c>
      <c r="H5" s="31">
        <v>1</v>
      </c>
      <c r="I5" s="37"/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7"/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7"/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7"/>
      <c r="AE5" s="31">
        <v>0</v>
      </c>
      <c r="AF5" s="31">
        <v>0</v>
      </c>
      <c r="AG5" s="34">
        <f t="shared" si="0"/>
        <v>5</v>
      </c>
    </row>
    <row r="6" spans="1:33" x14ac:dyDescent="0.25">
      <c r="A6" s="29" t="s">
        <v>2</v>
      </c>
      <c r="B6" s="37"/>
      <c r="C6" s="31">
        <v>1</v>
      </c>
      <c r="D6" s="31">
        <v>1</v>
      </c>
      <c r="E6" s="31">
        <v>1</v>
      </c>
      <c r="F6" s="31">
        <v>0</v>
      </c>
      <c r="G6" s="31">
        <v>1</v>
      </c>
      <c r="H6" s="31">
        <v>1</v>
      </c>
      <c r="I6" s="37"/>
      <c r="J6" s="31">
        <v>0</v>
      </c>
      <c r="K6" s="31">
        <v>1</v>
      </c>
      <c r="L6" s="31">
        <v>1</v>
      </c>
      <c r="M6" s="31">
        <v>1</v>
      </c>
      <c r="N6" s="31">
        <v>0</v>
      </c>
      <c r="O6" s="31">
        <v>1</v>
      </c>
      <c r="P6" s="37"/>
      <c r="Q6" s="31">
        <v>1</v>
      </c>
      <c r="R6" s="31">
        <v>0</v>
      </c>
      <c r="S6" s="31">
        <v>1</v>
      </c>
      <c r="T6" s="31">
        <v>1</v>
      </c>
      <c r="U6" s="31">
        <v>1</v>
      </c>
      <c r="V6" s="31">
        <v>0</v>
      </c>
      <c r="W6" s="37"/>
      <c r="X6" s="31">
        <v>1</v>
      </c>
      <c r="Y6" s="31">
        <v>1</v>
      </c>
      <c r="Z6" s="31">
        <v>0</v>
      </c>
      <c r="AA6" s="31">
        <v>1</v>
      </c>
      <c r="AB6" s="31">
        <v>1</v>
      </c>
      <c r="AC6" s="31">
        <v>1</v>
      </c>
      <c r="AD6" s="37"/>
      <c r="AE6" s="31">
        <v>1</v>
      </c>
      <c r="AF6" s="31">
        <v>1</v>
      </c>
      <c r="AG6" s="34">
        <f t="shared" si="0"/>
        <v>20</v>
      </c>
    </row>
    <row r="7" spans="1:33" x14ac:dyDescent="0.25">
      <c r="A7" s="29" t="s">
        <v>3</v>
      </c>
      <c r="B7" s="37"/>
      <c r="C7" s="31">
        <v>1</v>
      </c>
      <c r="D7" s="31">
        <v>1</v>
      </c>
      <c r="E7" s="31">
        <v>0</v>
      </c>
      <c r="F7" s="31">
        <v>1</v>
      </c>
      <c r="G7" s="31">
        <v>1</v>
      </c>
      <c r="H7" s="31">
        <v>1</v>
      </c>
      <c r="I7" s="37"/>
      <c r="J7" s="31">
        <v>1</v>
      </c>
      <c r="K7" s="31">
        <v>1</v>
      </c>
      <c r="L7" s="31">
        <v>1</v>
      </c>
      <c r="M7" s="31">
        <v>0</v>
      </c>
      <c r="N7" s="31">
        <v>1</v>
      </c>
      <c r="O7" s="31">
        <v>1</v>
      </c>
      <c r="P7" s="37"/>
      <c r="Q7" s="31">
        <v>0</v>
      </c>
      <c r="R7" s="31">
        <v>1</v>
      </c>
      <c r="S7" s="31">
        <v>1</v>
      </c>
      <c r="T7" s="31">
        <v>0</v>
      </c>
      <c r="U7" s="31">
        <v>0</v>
      </c>
      <c r="V7" s="31">
        <v>0</v>
      </c>
      <c r="W7" s="37"/>
      <c r="X7" s="31">
        <v>0</v>
      </c>
      <c r="Y7" s="31">
        <v>0</v>
      </c>
      <c r="Z7" s="31">
        <v>0</v>
      </c>
      <c r="AA7" s="31">
        <v>1</v>
      </c>
      <c r="AB7" s="31">
        <v>1</v>
      </c>
      <c r="AC7" s="31">
        <v>0</v>
      </c>
      <c r="AD7" s="37"/>
      <c r="AE7" s="31">
        <v>1</v>
      </c>
      <c r="AF7" s="31">
        <v>1</v>
      </c>
      <c r="AG7" s="34">
        <f t="shared" si="0"/>
        <v>16</v>
      </c>
    </row>
    <row r="8" spans="1:33" x14ac:dyDescent="0.25">
      <c r="A8" s="29" t="s">
        <v>4</v>
      </c>
      <c r="B8" s="37"/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7"/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7"/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7"/>
      <c r="X8" s="31">
        <v>0</v>
      </c>
      <c r="Y8" s="31">
        <v>0</v>
      </c>
      <c r="Z8" s="31">
        <v>0</v>
      </c>
      <c r="AA8" s="31">
        <v>1</v>
      </c>
      <c r="AB8" s="31">
        <v>1</v>
      </c>
      <c r="AC8" s="31">
        <v>1</v>
      </c>
      <c r="AD8" s="37"/>
      <c r="AE8" s="31">
        <v>1</v>
      </c>
      <c r="AF8" s="31">
        <v>1</v>
      </c>
      <c r="AG8" s="34">
        <f t="shared" si="0"/>
        <v>5</v>
      </c>
    </row>
    <row r="9" spans="1:33" x14ac:dyDescent="0.25">
      <c r="A9" s="29" t="s">
        <v>5</v>
      </c>
      <c r="B9" s="37"/>
      <c r="C9" s="31">
        <v>1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7"/>
      <c r="J9" s="31">
        <v>1</v>
      </c>
      <c r="K9" s="31">
        <v>1</v>
      </c>
      <c r="L9" s="31">
        <v>1</v>
      </c>
      <c r="M9" s="31">
        <v>1</v>
      </c>
      <c r="N9" s="31">
        <v>1</v>
      </c>
      <c r="O9" s="31">
        <v>1</v>
      </c>
      <c r="P9" s="37"/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1">
        <v>1</v>
      </c>
      <c r="W9" s="37"/>
      <c r="X9" s="31">
        <v>1</v>
      </c>
      <c r="Y9" s="31">
        <v>1</v>
      </c>
      <c r="Z9" s="31">
        <v>1</v>
      </c>
      <c r="AA9" s="31">
        <v>1</v>
      </c>
      <c r="AB9" s="31">
        <v>1</v>
      </c>
      <c r="AC9" s="31">
        <v>1</v>
      </c>
      <c r="AD9" s="37"/>
      <c r="AE9" s="31">
        <v>1</v>
      </c>
      <c r="AF9" s="31">
        <v>1</v>
      </c>
      <c r="AG9" s="34">
        <f t="shared" si="0"/>
        <v>26</v>
      </c>
    </row>
    <row r="10" spans="1:33" x14ac:dyDescent="0.25">
      <c r="A10" s="29" t="s">
        <v>6</v>
      </c>
      <c r="B10" s="37"/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7"/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7"/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1">
        <v>1</v>
      </c>
      <c r="W10" s="37"/>
      <c r="X10" s="31">
        <v>1</v>
      </c>
      <c r="Y10" s="31">
        <v>1</v>
      </c>
      <c r="Z10" s="31">
        <v>1</v>
      </c>
      <c r="AA10" s="31">
        <v>1</v>
      </c>
      <c r="AB10" s="31">
        <v>1</v>
      </c>
      <c r="AC10" s="31">
        <v>1</v>
      </c>
      <c r="AD10" s="37"/>
      <c r="AE10" s="31">
        <v>1</v>
      </c>
      <c r="AF10" s="31">
        <v>0</v>
      </c>
      <c r="AG10" s="34">
        <f t="shared" si="0"/>
        <v>13</v>
      </c>
    </row>
    <row r="11" spans="1:33" x14ac:dyDescent="0.25">
      <c r="A11" s="29" t="s">
        <v>7</v>
      </c>
      <c r="B11" s="37"/>
      <c r="C11" s="31">
        <v>1</v>
      </c>
      <c r="D11" s="31">
        <v>1</v>
      </c>
      <c r="E11" s="31">
        <v>1</v>
      </c>
      <c r="F11" s="31">
        <v>1</v>
      </c>
      <c r="G11" s="31">
        <v>1</v>
      </c>
      <c r="H11" s="31">
        <v>1</v>
      </c>
      <c r="I11" s="37"/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7"/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1">
        <v>1</v>
      </c>
      <c r="W11" s="37"/>
      <c r="X11" s="31">
        <v>1</v>
      </c>
      <c r="Y11" s="31">
        <v>1</v>
      </c>
      <c r="Z11" s="31">
        <v>1</v>
      </c>
      <c r="AA11" s="31">
        <v>1</v>
      </c>
      <c r="AB11" s="31">
        <v>1</v>
      </c>
      <c r="AC11" s="31">
        <v>1</v>
      </c>
      <c r="AD11" s="37"/>
      <c r="AE11" s="31">
        <v>1</v>
      </c>
      <c r="AF11" s="31">
        <v>1</v>
      </c>
      <c r="AG11" s="34">
        <f t="shared" si="0"/>
        <v>26</v>
      </c>
    </row>
    <row r="12" spans="1:33" x14ac:dyDescent="0.25">
      <c r="A12" s="29" t="s">
        <v>8</v>
      </c>
      <c r="B12" s="37"/>
      <c r="C12" s="31">
        <v>1</v>
      </c>
      <c r="D12" s="31">
        <v>1</v>
      </c>
      <c r="E12" s="31">
        <v>1</v>
      </c>
      <c r="F12" s="31">
        <v>0</v>
      </c>
      <c r="G12" s="31">
        <v>1</v>
      </c>
      <c r="H12" s="31">
        <v>1</v>
      </c>
      <c r="I12" s="37"/>
      <c r="J12" s="31">
        <v>0</v>
      </c>
      <c r="K12" s="31">
        <v>1</v>
      </c>
      <c r="L12" s="31">
        <v>1</v>
      </c>
      <c r="M12" s="31">
        <v>1</v>
      </c>
      <c r="N12" s="31">
        <v>0</v>
      </c>
      <c r="O12" s="31">
        <v>1</v>
      </c>
      <c r="P12" s="37"/>
      <c r="Q12" s="31">
        <v>1</v>
      </c>
      <c r="R12" s="31">
        <v>0</v>
      </c>
      <c r="S12" s="31">
        <v>1</v>
      </c>
      <c r="T12" s="31">
        <v>1</v>
      </c>
      <c r="U12" s="31">
        <v>1</v>
      </c>
      <c r="V12" s="31">
        <v>0</v>
      </c>
      <c r="W12" s="37"/>
      <c r="X12" s="31">
        <v>1</v>
      </c>
      <c r="Y12" s="31">
        <v>1</v>
      </c>
      <c r="Z12" s="31">
        <v>0</v>
      </c>
      <c r="AA12" s="31">
        <v>1</v>
      </c>
      <c r="AB12" s="31">
        <v>1</v>
      </c>
      <c r="AC12" s="31">
        <v>1</v>
      </c>
      <c r="AD12" s="37"/>
      <c r="AE12" s="31">
        <v>1</v>
      </c>
      <c r="AF12" s="31">
        <v>0</v>
      </c>
      <c r="AG12" s="34">
        <f t="shared" si="0"/>
        <v>19</v>
      </c>
    </row>
    <row r="13" spans="1:33" x14ac:dyDescent="0.25">
      <c r="A13" s="29" t="s">
        <v>9</v>
      </c>
      <c r="B13" s="37"/>
      <c r="C13" s="31">
        <v>1</v>
      </c>
      <c r="D13" s="31">
        <v>1</v>
      </c>
      <c r="E13" s="31">
        <v>1</v>
      </c>
      <c r="F13" s="31">
        <v>0</v>
      </c>
      <c r="G13" s="31">
        <v>1</v>
      </c>
      <c r="H13" s="31">
        <v>1</v>
      </c>
      <c r="I13" s="37"/>
      <c r="J13" s="31">
        <v>0</v>
      </c>
      <c r="K13" s="31">
        <v>1</v>
      </c>
      <c r="L13" s="31">
        <v>1</v>
      </c>
      <c r="M13" s="31">
        <v>1</v>
      </c>
      <c r="N13" s="31">
        <v>0</v>
      </c>
      <c r="O13" s="31">
        <v>1</v>
      </c>
      <c r="P13" s="37"/>
      <c r="Q13" s="31">
        <v>1</v>
      </c>
      <c r="R13" s="31">
        <v>0</v>
      </c>
      <c r="S13" s="31">
        <v>1</v>
      </c>
      <c r="T13" s="31">
        <v>1</v>
      </c>
      <c r="U13" s="31">
        <v>1</v>
      </c>
      <c r="V13" s="31">
        <v>0</v>
      </c>
      <c r="W13" s="37"/>
      <c r="X13" s="31">
        <v>1</v>
      </c>
      <c r="Y13" s="31">
        <v>1</v>
      </c>
      <c r="Z13" s="31">
        <v>0</v>
      </c>
      <c r="AA13" s="31">
        <v>1</v>
      </c>
      <c r="AB13" s="31">
        <v>1</v>
      </c>
      <c r="AC13" s="31">
        <v>1</v>
      </c>
      <c r="AD13" s="37"/>
      <c r="AE13" s="31">
        <v>1</v>
      </c>
      <c r="AF13" s="31">
        <v>0</v>
      </c>
      <c r="AG13" s="34">
        <f t="shared" si="0"/>
        <v>19</v>
      </c>
    </row>
    <row r="14" spans="1:33" x14ac:dyDescent="0.25">
      <c r="A14" s="29" t="s">
        <v>10</v>
      </c>
      <c r="B14" s="37"/>
      <c r="C14" s="31">
        <v>0</v>
      </c>
      <c r="D14" s="31">
        <v>1</v>
      </c>
      <c r="E14" s="31">
        <v>0</v>
      </c>
      <c r="F14" s="31">
        <v>1</v>
      </c>
      <c r="G14" s="31">
        <v>0</v>
      </c>
      <c r="H14" s="31">
        <v>1</v>
      </c>
      <c r="I14" s="37"/>
      <c r="J14" s="31">
        <v>1</v>
      </c>
      <c r="K14" s="31">
        <v>0</v>
      </c>
      <c r="L14" s="31">
        <v>1</v>
      </c>
      <c r="M14" s="31">
        <v>0</v>
      </c>
      <c r="N14" s="31">
        <v>1</v>
      </c>
      <c r="O14" s="31">
        <v>0</v>
      </c>
      <c r="P14" s="37"/>
      <c r="Q14" s="31">
        <v>0</v>
      </c>
      <c r="R14" s="31">
        <v>1</v>
      </c>
      <c r="S14" s="31">
        <v>0</v>
      </c>
      <c r="T14" s="31">
        <v>1</v>
      </c>
      <c r="U14" s="31">
        <v>0</v>
      </c>
      <c r="V14" s="31">
        <v>1</v>
      </c>
      <c r="W14" s="37"/>
      <c r="X14" s="31">
        <v>1</v>
      </c>
      <c r="Y14" s="31">
        <v>0</v>
      </c>
      <c r="Z14" s="31">
        <v>1</v>
      </c>
      <c r="AA14" s="31">
        <v>0</v>
      </c>
      <c r="AB14" s="31">
        <v>1</v>
      </c>
      <c r="AC14" s="31">
        <v>0</v>
      </c>
      <c r="AD14" s="37"/>
      <c r="AE14" s="31">
        <v>1</v>
      </c>
      <c r="AF14" s="31">
        <v>1</v>
      </c>
      <c r="AG14" s="34">
        <f t="shared" si="0"/>
        <v>14</v>
      </c>
    </row>
    <row r="15" spans="1:33" x14ac:dyDescent="0.25">
      <c r="A15" s="29" t="s">
        <v>11</v>
      </c>
      <c r="B15" s="37"/>
      <c r="C15" s="31">
        <v>1</v>
      </c>
      <c r="D15" s="31">
        <v>1</v>
      </c>
      <c r="E15" s="31">
        <v>0</v>
      </c>
      <c r="F15" s="31">
        <v>1</v>
      </c>
      <c r="G15" s="31">
        <v>1</v>
      </c>
      <c r="H15" s="31">
        <v>1</v>
      </c>
      <c r="I15" s="37"/>
      <c r="J15" s="31">
        <v>1</v>
      </c>
      <c r="K15" s="31">
        <v>1</v>
      </c>
      <c r="L15" s="31">
        <v>1</v>
      </c>
      <c r="M15" s="31">
        <v>0</v>
      </c>
      <c r="N15" s="31">
        <v>1</v>
      </c>
      <c r="O15" s="31">
        <v>1</v>
      </c>
      <c r="P15" s="37"/>
      <c r="Q15" s="31">
        <v>0</v>
      </c>
      <c r="R15" s="31">
        <v>1</v>
      </c>
      <c r="S15" s="31">
        <v>1</v>
      </c>
      <c r="T15" s="31">
        <v>1</v>
      </c>
      <c r="U15" s="31">
        <v>0</v>
      </c>
      <c r="V15" s="31">
        <v>1</v>
      </c>
      <c r="W15" s="37"/>
      <c r="X15" s="31">
        <v>1</v>
      </c>
      <c r="Y15" s="31">
        <v>0</v>
      </c>
      <c r="Z15" s="31">
        <v>1</v>
      </c>
      <c r="AA15" s="31">
        <v>1</v>
      </c>
      <c r="AB15" s="31">
        <v>1</v>
      </c>
      <c r="AC15" s="31">
        <v>0</v>
      </c>
      <c r="AD15" s="37"/>
      <c r="AE15" s="31">
        <v>1</v>
      </c>
      <c r="AF15" s="31">
        <v>1</v>
      </c>
      <c r="AG15" s="34">
        <f t="shared" si="0"/>
        <v>20</v>
      </c>
    </row>
    <row r="16" spans="1:33" x14ac:dyDescent="0.25">
      <c r="A16" s="29" t="s">
        <v>12</v>
      </c>
      <c r="B16" s="37"/>
      <c r="C16" s="31">
        <v>1</v>
      </c>
      <c r="D16" s="31">
        <v>1</v>
      </c>
      <c r="E16" s="31">
        <v>0</v>
      </c>
      <c r="F16" s="31">
        <v>1</v>
      </c>
      <c r="G16" s="31">
        <v>1</v>
      </c>
      <c r="H16" s="31">
        <v>1</v>
      </c>
      <c r="I16" s="37"/>
      <c r="J16" s="31">
        <v>1</v>
      </c>
      <c r="K16" s="31">
        <v>1</v>
      </c>
      <c r="L16" s="31">
        <v>1</v>
      </c>
      <c r="M16" s="31">
        <v>0</v>
      </c>
      <c r="N16" s="31">
        <v>1</v>
      </c>
      <c r="O16" s="31">
        <v>1</v>
      </c>
      <c r="P16" s="37"/>
      <c r="Q16" s="31">
        <v>0</v>
      </c>
      <c r="R16" s="31">
        <v>1</v>
      </c>
      <c r="S16" s="31">
        <v>1</v>
      </c>
      <c r="T16" s="31">
        <v>1</v>
      </c>
      <c r="U16" s="31">
        <v>0</v>
      </c>
      <c r="V16" s="31">
        <v>1</v>
      </c>
      <c r="W16" s="37"/>
      <c r="X16" s="31">
        <v>1</v>
      </c>
      <c r="Y16" s="31">
        <v>0</v>
      </c>
      <c r="Z16" s="31">
        <v>1</v>
      </c>
      <c r="AA16" s="31">
        <v>1</v>
      </c>
      <c r="AB16" s="31">
        <v>1</v>
      </c>
      <c r="AC16" s="31">
        <v>0</v>
      </c>
      <c r="AD16" s="37"/>
      <c r="AE16" s="31">
        <v>1</v>
      </c>
      <c r="AF16" s="31">
        <v>1</v>
      </c>
      <c r="AG16" s="34">
        <f>SUM(C16:AF16)</f>
        <v>20</v>
      </c>
    </row>
    <row r="17" spans="1:33" x14ac:dyDescent="0.25">
      <c r="A17" s="29" t="s">
        <v>13</v>
      </c>
      <c r="B17" s="37"/>
      <c r="C17" s="31">
        <v>1</v>
      </c>
      <c r="D17" s="31">
        <v>1</v>
      </c>
      <c r="E17" s="31">
        <v>0</v>
      </c>
      <c r="F17" s="31">
        <v>0</v>
      </c>
      <c r="G17" s="31">
        <v>1</v>
      </c>
      <c r="H17" s="31">
        <v>1</v>
      </c>
      <c r="I17" s="37"/>
      <c r="J17" s="31">
        <v>0</v>
      </c>
      <c r="K17" s="31">
        <v>1</v>
      </c>
      <c r="L17" s="31">
        <v>1</v>
      </c>
      <c r="M17" s="31">
        <v>0</v>
      </c>
      <c r="N17" s="31">
        <v>0</v>
      </c>
      <c r="O17" s="31">
        <v>1</v>
      </c>
      <c r="P17" s="37"/>
      <c r="Q17" s="31">
        <v>0</v>
      </c>
      <c r="R17" s="31">
        <v>0</v>
      </c>
      <c r="S17" s="31">
        <v>1</v>
      </c>
      <c r="T17" s="31">
        <v>1</v>
      </c>
      <c r="U17" s="31">
        <v>0</v>
      </c>
      <c r="V17" s="31">
        <v>0</v>
      </c>
      <c r="W17" s="37"/>
      <c r="X17" s="31">
        <v>1</v>
      </c>
      <c r="Y17" s="31">
        <v>0</v>
      </c>
      <c r="Z17" s="31">
        <v>0</v>
      </c>
      <c r="AA17" s="31">
        <v>1</v>
      </c>
      <c r="AB17" s="31">
        <v>1</v>
      </c>
      <c r="AC17" s="31">
        <v>0</v>
      </c>
      <c r="AD17" s="37"/>
      <c r="AE17" s="31">
        <v>1</v>
      </c>
      <c r="AF17" s="31">
        <v>1</v>
      </c>
      <c r="AG17" s="34">
        <f t="shared" si="0"/>
        <v>14</v>
      </c>
    </row>
    <row r="18" spans="1:33" x14ac:dyDescent="0.25">
      <c r="A18" s="29" t="s">
        <v>28</v>
      </c>
      <c r="B18" s="37"/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7"/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7"/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7"/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7"/>
      <c r="AE18" s="31">
        <v>1</v>
      </c>
      <c r="AF18" s="31">
        <v>1</v>
      </c>
      <c r="AG18" s="34">
        <f t="shared" si="0"/>
        <v>2</v>
      </c>
    </row>
    <row r="19" spans="1:33" x14ac:dyDescent="0.25">
      <c r="A19" s="29" t="s">
        <v>29</v>
      </c>
      <c r="B19" s="37"/>
      <c r="C19" s="31">
        <v>0</v>
      </c>
      <c r="D19" s="31">
        <v>1</v>
      </c>
      <c r="E19" s="31">
        <v>0</v>
      </c>
      <c r="F19" s="31">
        <v>0</v>
      </c>
      <c r="G19" s="31">
        <v>0</v>
      </c>
      <c r="H19" s="31">
        <v>1</v>
      </c>
      <c r="I19" s="37"/>
      <c r="J19" s="31">
        <v>0</v>
      </c>
      <c r="K19" s="31">
        <v>0</v>
      </c>
      <c r="L19" s="31">
        <v>1</v>
      </c>
      <c r="M19" s="31">
        <v>0</v>
      </c>
      <c r="N19" s="31">
        <v>0</v>
      </c>
      <c r="O19" s="31">
        <v>0</v>
      </c>
      <c r="P19" s="37"/>
      <c r="Q19" s="31">
        <v>0</v>
      </c>
      <c r="R19" s="31">
        <v>0</v>
      </c>
      <c r="S19" s="31">
        <v>0</v>
      </c>
      <c r="T19" s="31">
        <v>1</v>
      </c>
      <c r="U19" s="31">
        <v>0</v>
      </c>
      <c r="V19" s="31">
        <v>0</v>
      </c>
      <c r="W19" s="37"/>
      <c r="X19" s="31">
        <v>1</v>
      </c>
      <c r="Y19" s="31">
        <v>0</v>
      </c>
      <c r="Z19" s="31">
        <v>0</v>
      </c>
      <c r="AA19" s="31">
        <v>0</v>
      </c>
      <c r="AB19" s="31">
        <v>1</v>
      </c>
      <c r="AC19" s="31">
        <v>0</v>
      </c>
      <c r="AD19" s="37"/>
      <c r="AE19" s="31">
        <v>1</v>
      </c>
      <c r="AF19" s="31">
        <v>1</v>
      </c>
      <c r="AG19" s="34">
        <f t="shared" si="0"/>
        <v>8</v>
      </c>
    </row>
    <row r="20" spans="1:33" x14ac:dyDescent="0.25">
      <c r="A20" s="29" t="s">
        <v>35</v>
      </c>
      <c r="B20" s="37"/>
      <c r="C20" s="31">
        <v>0</v>
      </c>
      <c r="D20" s="31">
        <v>1</v>
      </c>
      <c r="E20" s="31">
        <v>1</v>
      </c>
      <c r="F20" s="31">
        <v>1</v>
      </c>
      <c r="G20" s="31">
        <v>0</v>
      </c>
      <c r="H20" s="31">
        <v>1</v>
      </c>
      <c r="I20" s="37"/>
      <c r="J20" s="31">
        <v>1</v>
      </c>
      <c r="K20" s="31">
        <v>0</v>
      </c>
      <c r="L20" s="31">
        <v>1</v>
      </c>
      <c r="M20" s="31">
        <v>1</v>
      </c>
      <c r="N20" s="31">
        <v>1</v>
      </c>
      <c r="O20" s="31">
        <v>0</v>
      </c>
      <c r="P20" s="37"/>
      <c r="Q20" s="31">
        <v>1</v>
      </c>
      <c r="R20" s="31">
        <v>1</v>
      </c>
      <c r="S20" s="31">
        <v>0</v>
      </c>
      <c r="T20" s="31">
        <v>1</v>
      </c>
      <c r="U20" s="31">
        <v>1</v>
      </c>
      <c r="V20" s="31">
        <v>1</v>
      </c>
      <c r="W20" s="37"/>
      <c r="X20" s="31">
        <v>1</v>
      </c>
      <c r="Y20" s="31">
        <v>1</v>
      </c>
      <c r="Z20" s="31">
        <v>1</v>
      </c>
      <c r="AA20" s="31">
        <v>0</v>
      </c>
      <c r="AB20" s="31">
        <v>1</v>
      </c>
      <c r="AC20" s="31">
        <v>1</v>
      </c>
      <c r="AD20" s="37"/>
      <c r="AE20" s="31">
        <v>1</v>
      </c>
      <c r="AF20" s="31">
        <v>1</v>
      </c>
      <c r="AG20" s="34">
        <f t="shared" si="0"/>
        <v>20</v>
      </c>
    </row>
    <row r="21" spans="1:33" x14ac:dyDescent="0.25">
      <c r="A21" s="29" t="s">
        <v>36</v>
      </c>
      <c r="B21" s="37"/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7"/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7"/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7"/>
      <c r="X21" s="31">
        <v>0</v>
      </c>
      <c r="Y21" s="31">
        <v>0</v>
      </c>
      <c r="Z21" s="31">
        <v>0</v>
      </c>
      <c r="AA21" s="31">
        <v>0</v>
      </c>
      <c r="AB21" s="31">
        <v>1</v>
      </c>
      <c r="AC21" s="31">
        <v>0</v>
      </c>
      <c r="AD21" s="37"/>
      <c r="AE21" s="31">
        <v>1</v>
      </c>
      <c r="AF21" s="31">
        <v>0</v>
      </c>
      <c r="AG21" s="34">
        <f t="shared" si="0"/>
        <v>2</v>
      </c>
    </row>
    <row r="22" spans="1:33" x14ac:dyDescent="0.25">
      <c r="A22" s="29" t="s">
        <v>37</v>
      </c>
      <c r="B22" s="37"/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7"/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7"/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7"/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7"/>
      <c r="AE22" s="31">
        <v>1</v>
      </c>
      <c r="AF22" s="31">
        <v>0</v>
      </c>
      <c r="AG22" s="34">
        <f t="shared" si="0"/>
        <v>1</v>
      </c>
    </row>
    <row r="23" spans="1:33" x14ac:dyDescent="0.25">
      <c r="A23" s="8"/>
    </row>
    <row r="24" spans="1:33" x14ac:dyDescent="0.25">
      <c r="A24" s="8"/>
    </row>
    <row r="25" spans="1:33" x14ac:dyDescent="0.25">
      <c r="A25" s="8"/>
    </row>
    <row r="26" spans="1:33" x14ac:dyDescent="0.25">
      <c r="A26" s="8"/>
    </row>
    <row r="27" spans="1:33" x14ac:dyDescent="0.25">
      <c r="A27" s="8"/>
    </row>
    <row r="28" spans="1:33" x14ac:dyDescent="0.25">
      <c r="A28" s="8"/>
    </row>
    <row r="29" spans="1:33" x14ac:dyDescent="0.25">
      <c r="A29" s="8"/>
    </row>
    <row r="30" spans="1:33" x14ac:dyDescent="0.25">
      <c r="A30" s="8"/>
    </row>
    <row r="31" spans="1:33" x14ac:dyDescent="0.25">
      <c r="A31" s="8"/>
    </row>
    <row r="32" spans="1:33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  <row r="40" spans="1:1" x14ac:dyDescent="0.25">
      <c r="A40" s="8"/>
    </row>
    <row r="41" spans="1:1" x14ac:dyDescent="0.25">
      <c r="A41" s="8"/>
    </row>
    <row r="42" spans="1:1" x14ac:dyDescent="0.25">
      <c r="A42" s="8"/>
    </row>
    <row r="43" spans="1:1" x14ac:dyDescent="0.25">
      <c r="A43" s="8"/>
    </row>
    <row r="44" spans="1:1" x14ac:dyDescent="0.25">
      <c r="A44" s="8"/>
    </row>
    <row r="45" spans="1:1" x14ac:dyDescent="0.25">
      <c r="A45" s="8"/>
    </row>
    <row r="46" spans="1:1" x14ac:dyDescent="0.25">
      <c r="A46" s="8"/>
    </row>
    <row r="47" spans="1:1" x14ac:dyDescent="0.25">
      <c r="A47" s="8"/>
    </row>
    <row r="48" spans="1:1" x14ac:dyDescent="0.25">
      <c r="A48" s="8"/>
    </row>
    <row r="49" spans="1:1" x14ac:dyDescent="0.25">
      <c r="A49" s="8"/>
    </row>
    <row r="50" spans="1:1" x14ac:dyDescent="0.25">
      <c r="A50" s="8"/>
    </row>
    <row r="51" spans="1:1" x14ac:dyDescent="0.25">
      <c r="A51" s="8"/>
    </row>
    <row r="52" spans="1:1" x14ac:dyDescent="0.25">
      <c r="A52" s="8"/>
    </row>
    <row r="53" spans="1:1" x14ac:dyDescent="0.25">
      <c r="A53" s="8"/>
    </row>
    <row r="54" spans="1:1" x14ac:dyDescent="0.25">
      <c r="A54" s="8"/>
    </row>
    <row r="55" spans="1:1" x14ac:dyDescent="0.25">
      <c r="A55" s="8"/>
    </row>
    <row r="56" spans="1:1" x14ac:dyDescent="0.25">
      <c r="A56" s="8"/>
    </row>
    <row r="57" spans="1:1" x14ac:dyDescent="0.25">
      <c r="A57" s="8"/>
    </row>
    <row r="58" spans="1:1" x14ac:dyDescent="0.25">
      <c r="A58" s="8"/>
    </row>
    <row r="59" spans="1:1" x14ac:dyDescent="0.25">
      <c r="A59" s="8"/>
    </row>
  </sheetData>
  <mergeCells count="1">
    <mergeCell ref="A1:A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zoomScale="110" zoomScaleNormal="110" workbookViewId="0">
      <selection activeCell="A3" sqref="A3:E22"/>
    </sheetView>
  </sheetViews>
  <sheetFormatPr defaultRowHeight="15" x14ac:dyDescent="0.25"/>
  <cols>
    <col min="1" max="1" width="20.28515625" style="1" customWidth="1"/>
    <col min="2" max="2" width="14" style="4" customWidth="1"/>
    <col min="3" max="3" width="19" style="1" customWidth="1"/>
    <col min="4" max="4" width="17" style="2" customWidth="1"/>
    <col min="5" max="5" width="22.85546875" style="1" customWidth="1"/>
    <col min="6" max="6" width="10" style="1" customWidth="1"/>
    <col min="7" max="7" width="16.7109375" style="1" customWidth="1"/>
    <col min="8" max="8" width="18.5703125" style="1" customWidth="1"/>
    <col min="9" max="9" width="9.85546875" style="1" customWidth="1"/>
    <col min="10" max="16384" width="9.140625" style="1"/>
  </cols>
  <sheetData>
    <row r="1" spans="1:9" ht="44.25" customHeight="1" thickBot="1" x14ac:dyDescent="0.35">
      <c r="A1" s="45" t="s">
        <v>19</v>
      </c>
      <c r="B1" s="45"/>
      <c r="C1" s="45"/>
      <c r="D1" s="45"/>
      <c r="E1" s="45"/>
      <c r="G1" s="44" t="s">
        <v>17</v>
      </c>
      <c r="H1" s="44"/>
      <c r="I1" s="44"/>
    </row>
    <row r="2" spans="1:9" ht="30" customHeight="1" thickTop="1" thickBot="1" x14ac:dyDescent="0.3">
      <c r="A2" s="5" t="s">
        <v>18</v>
      </c>
      <c r="B2" s="5" t="s">
        <v>44</v>
      </c>
      <c r="C2" s="5" t="s">
        <v>14</v>
      </c>
      <c r="D2" s="6" t="s">
        <v>40</v>
      </c>
      <c r="E2" s="5" t="s">
        <v>15</v>
      </c>
      <c r="G2" s="5" t="s">
        <v>43</v>
      </c>
      <c r="H2" s="20" t="s">
        <v>41</v>
      </c>
      <c r="I2" s="5" t="s">
        <v>16</v>
      </c>
    </row>
    <row r="3" spans="1:9" ht="17.25" customHeight="1" thickTop="1" x14ac:dyDescent="0.25">
      <c r="A3" s="12" t="s">
        <v>0</v>
      </c>
      <c r="B3" s="4">
        <f>'Ishlagan kuni'!AG3</f>
        <v>26</v>
      </c>
      <c r="C3" s="3">
        <f>B3*$G$7</f>
        <v>2000000</v>
      </c>
      <c r="D3" s="2">
        <f t="shared" ref="D3" si="0">VLOOKUP(C3,H:I,2)</f>
        <v>0.1</v>
      </c>
      <c r="E3" s="3">
        <f t="shared" ref="E3" si="1">C3-(C3*D3)</f>
        <v>1800000</v>
      </c>
      <c r="G3" s="46" t="s">
        <v>42</v>
      </c>
      <c r="H3" s="38">
        <v>76923.076923076922</v>
      </c>
      <c r="I3" s="40">
        <v>0.02</v>
      </c>
    </row>
    <row r="4" spans="1:9" ht="17.25" customHeight="1" x14ac:dyDescent="0.25">
      <c r="A4" s="1" t="s">
        <v>30</v>
      </c>
      <c r="B4" s="4">
        <f>'Ishlagan kuni'!AG4</f>
        <v>14</v>
      </c>
      <c r="C4" s="3">
        <f t="shared" ref="C4:C22" si="2">B4*$G$7</f>
        <v>1076923.076923077</v>
      </c>
      <c r="D4" s="2">
        <f t="shared" ref="D4:D22" si="3">VLOOKUP(C4,H:I,2)</f>
        <v>0.06</v>
      </c>
      <c r="E4" s="3">
        <f t="shared" ref="E4:E22" si="4">C4-(C4*D4)</f>
        <v>1012307.6923076924</v>
      </c>
      <c r="G4" s="47"/>
      <c r="H4" s="22">
        <v>500000</v>
      </c>
      <c r="I4" s="40">
        <v>0.04</v>
      </c>
    </row>
    <row r="5" spans="1:9" ht="17.25" customHeight="1" x14ac:dyDescent="0.25">
      <c r="A5" s="1" t="s">
        <v>1</v>
      </c>
      <c r="B5" s="4">
        <f>'Ishlagan kuni'!AG5</f>
        <v>5</v>
      </c>
      <c r="C5" s="3">
        <f t="shared" si="2"/>
        <v>384615.38461538462</v>
      </c>
      <c r="D5" s="2">
        <f t="shared" si="3"/>
        <v>0.02</v>
      </c>
      <c r="E5" s="3">
        <f t="shared" si="4"/>
        <v>376923.07692307694</v>
      </c>
      <c r="G5" s="48"/>
      <c r="H5" s="22">
        <v>1000000</v>
      </c>
      <c r="I5" s="40">
        <v>0.06</v>
      </c>
    </row>
    <row r="6" spans="1:9" ht="17.25" customHeight="1" x14ac:dyDescent="0.25">
      <c r="A6" s="1" t="s">
        <v>2</v>
      </c>
      <c r="B6" s="4">
        <f>'Ishlagan kuni'!AG6</f>
        <v>20</v>
      </c>
      <c r="C6" s="3">
        <f t="shared" si="2"/>
        <v>1538461.5384615385</v>
      </c>
      <c r="D6" s="2">
        <f t="shared" si="3"/>
        <v>0.08</v>
      </c>
      <c r="E6" s="3">
        <f t="shared" si="4"/>
        <v>1415384.6153846155</v>
      </c>
      <c r="F6" s="3"/>
      <c r="H6" s="22">
        <v>1500000</v>
      </c>
      <c r="I6" s="40">
        <v>0.08</v>
      </c>
    </row>
    <row r="7" spans="1:9" ht="17.25" customHeight="1" x14ac:dyDescent="0.25">
      <c r="A7" s="1" t="s">
        <v>3</v>
      </c>
      <c r="B7" s="4">
        <f>'Ishlagan kuni'!AG7</f>
        <v>16</v>
      </c>
      <c r="C7" s="3">
        <f t="shared" si="2"/>
        <v>1230769.2307692308</v>
      </c>
      <c r="D7" s="2">
        <f t="shared" si="3"/>
        <v>0.06</v>
      </c>
      <c r="E7" s="3">
        <f t="shared" si="4"/>
        <v>1156923.076923077</v>
      </c>
      <c r="G7" s="28">
        <f>2000000/26</f>
        <v>76923.076923076922</v>
      </c>
      <c r="H7" s="22">
        <v>2000000</v>
      </c>
      <c r="I7" s="40">
        <v>0.1</v>
      </c>
    </row>
    <row r="8" spans="1:9" ht="17.25" customHeight="1" x14ac:dyDescent="0.25">
      <c r="A8" s="1" t="s">
        <v>4</v>
      </c>
      <c r="B8" s="4">
        <f>'Ishlagan kuni'!AG8</f>
        <v>5</v>
      </c>
      <c r="C8" s="3">
        <f t="shared" si="2"/>
        <v>384615.38461538462</v>
      </c>
      <c r="D8" s="2">
        <f t="shared" si="3"/>
        <v>0.02</v>
      </c>
      <c r="E8" s="3">
        <f t="shared" si="4"/>
        <v>376923.07692307694</v>
      </c>
      <c r="G8" s="21"/>
    </row>
    <row r="9" spans="1:9" ht="17.25" customHeight="1" x14ac:dyDescent="0.25">
      <c r="A9" s="1" t="s">
        <v>5</v>
      </c>
      <c r="B9" s="4">
        <f>'Ishlagan kuni'!AG9</f>
        <v>26</v>
      </c>
      <c r="C9" s="3">
        <f t="shared" si="2"/>
        <v>2000000</v>
      </c>
      <c r="D9" s="2">
        <f t="shared" si="3"/>
        <v>0.1</v>
      </c>
      <c r="E9" s="3">
        <f t="shared" si="4"/>
        <v>1800000</v>
      </c>
    </row>
    <row r="10" spans="1:9" ht="17.25" customHeight="1" x14ac:dyDescent="0.25">
      <c r="A10" s="1" t="s">
        <v>6</v>
      </c>
      <c r="B10" s="4">
        <f>'Ishlagan kuni'!AG10</f>
        <v>13</v>
      </c>
      <c r="C10" s="3">
        <f t="shared" si="2"/>
        <v>1000000</v>
      </c>
      <c r="D10" s="2">
        <f t="shared" si="3"/>
        <v>0.06</v>
      </c>
      <c r="E10" s="3">
        <f t="shared" si="4"/>
        <v>940000</v>
      </c>
    </row>
    <row r="11" spans="1:9" ht="17.25" customHeight="1" x14ac:dyDescent="0.25">
      <c r="A11" s="1" t="s">
        <v>7</v>
      </c>
      <c r="B11" s="4">
        <f>'Ishlagan kuni'!AG11</f>
        <v>26</v>
      </c>
      <c r="C11" s="3">
        <f t="shared" si="2"/>
        <v>2000000</v>
      </c>
      <c r="D11" s="2">
        <f t="shared" si="3"/>
        <v>0.1</v>
      </c>
      <c r="E11" s="3">
        <f t="shared" si="4"/>
        <v>1800000</v>
      </c>
    </row>
    <row r="12" spans="1:9" ht="17.25" customHeight="1" x14ac:dyDescent="0.25">
      <c r="A12" s="1" t="s">
        <v>8</v>
      </c>
      <c r="B12" s="4">
        <f>'Ishlagan kuni'!AG12</f>
        <v>19</v>
      </c>
      <c r="C12" s="3">
        <f t="shared" si="2"/>
        <v>1461538.4615384615</v>
      </c>
      <c r="D12" s="2">
        <f t="shared" si="3"/>
        <v>0.06</v>
      </c>
      <c r="E12" s="3">
        <f t="shared" si="4"/>
        <v>1373846.1538461538</v>
      </c>
    </row>
    <row r="13" spans="1:9" ht="17.25" customHeight="1" x14ac:dyDescent="0.25">
      <c r="A13" s="1" t="s">
        <v>9</v>
      </c>
      <c r="B13" s="4">
        <f>'Ishlagan kuni'!AG13</f>
        <v>19</v>
      </c>
      <c r="C13" s="3">
        <f t="shared" si="2"/>
        <v>1461538.4615384615</v>
      </c>
      <c r="D13" s="2">
        <f t="shared" si="3"/>
        <v>0.06</v>
      </c>
      <c r="E13" s="3">
        <f t="shared" si="4"/>
        <v>1373846.1538461538</v>
      </c>
    </row>
    <row r="14" spans="1:9" ht="17.25" customHeight="1" x14ac:dyDescent="0.25">
      <c r="A14" s="1" t="s">
        <v>10</v>
      </c>
      <c r="B14" s="4">
        <f>'Ishlagan kuni'!AG14</f>
        <v>14</v>
      </c>
      <c r="C14" s="3">
        <f t="shared" si="2"/>
        <v>1076923.076923077</v>
      </c>
      <c r="D14" s="2">
        <f t="shared" si="3"/>
        <v>0.06</v>
      </c>
      <c r="E14" s="3">
        <f t="shared" si="4"/>
        <v>1012307.6923076924</v>
      </c>
    </row>
    <row r="15" spans="1:9" ht="17.25" customHeight="1" x14ac:dyDescent="0.25">
      <c r="A15" s="1" t="s">
        <v>11</v>
      </c>
      <c r="B15" s="4">
        <f>'Ishlagan kuni'!AG15</f>
        <v>20</v>
      </c>
      <c r="C15" s="3">
        <f t="shared" si="2"/>
        <v>1538461.5384615385</v>
      </c>
      <c r="D15" s="2">
        <f t="shared" si="3"/>
        <v>0.08</v>
      </c>
      <c r="E15" s="3">
        <f t="shared" si="4"/>
        <v>1415384.6153846155</v>
      </c>
    </row>
    <row r="16" spans="1:9" ht="17.25" customHeight="1" x14ac:dyDescent="0.25">
      <c r="A16" s="1" t="s">
        <v>12</v>
      </c>
      <c r="B16" s="4">
        <f>'Ishlagan kuni'!AG16</f>
        <v>20</v>
      </c>
      <c r="C16" s="3">
        <f t="shared" si="2"/>
        <v>1538461.5384615385</v>
      </c>
      <c r="D16" s="2">
        <f t="shared" si="3"/>
        <v>0.08</v>
      </c>
      <c r="E16" s="3">
        <f t="shared" si="4"/>
        <v>1415384.6153846155</v>
      </c>
    </row>
    <row r="17" spans="1:5" ht="17.25" customHeight="1" x14ac:dyDescent="0.25">
      <c r="A17" s="1" t="s">
        <v>13</v>
      </c>
      <c r="B17" s="4">
        <f>'Ishlagan kuni'!AG17</f>
        <v>14</v>
      </c>
      <c r="C17" s="3">
        <f t="shared" si="2"/>
        <v>1076923.076923077</v>
      </c>
      <c r="D17" s="2">
        <f t="shared" si="3"/>
        <v>0.06</v>
      </c>
      <c r="E17" s="3">
        <f t="shared" si="4"/>
        <v>1012307.6923076924</v>
      </c>
    </row>
    <row r="18" spans="1:5" ht="17.25" customHeight="1" x14ac:dyDescent="0.25">
      <c r="A18" s="1" t="s">
        <v>28</v>
      </c>
      <c r="B18" s="4">
        <f>'Ishlagan kuni'!AG18</f>
        <v>2</v>
      </c>
      <c r="C18" s="3">
        <f t="shared" si="2"/>
        <v>153846.15384615384</v>
      </c>
      <c r="D18" s="2">
        <f t="shared" si="3"/>
        <v>0.02</v>
      </c>
      <c r="E18" s="3">
        <f t="shared" si="4"/>
        <v>150769.23076923078</v>
      </c>
    </row>
    <row r="19" spans="1:5" ht="17.25" customHeight="1" x14ac:dyDescent="0.25">
      <c r="A19" s="1" t="s">
        <v>29</v>
      </c>
      <c r="B19" s="4">
        <f>'Ishlagan kuni'!AG19</f>
        <v>8</v>
      </c>
      <c r="C19" s="3">
        <f t="shared" si="2"/>
        <v>615384.61538461538</v>
      </c>
      <c r="D19" s="2">
        <f t="shared" si="3"/>
        <v>0.04</v>
      </c>
      <c r="E19" s="3">
        <f t="shared" si="4"/>
        <v>590769.23076923075</v>
      </c>
    </row>
    <row r="20" spans="1:5" ht="17.25" customHeight="1" x14ac:dyDescent="0.25">
      <c r="A20" t="s">
        <v>35</v>
      </c>
      <c r="B20" s="4">
        <f>'Ishlagan kuni'!AG20</f>
        <v>20</v>
      </c>
      <c r="C20" s="3">
        <f t="shared" si="2"/>
        <v>1538461.5384615385</v>
      </c>
      <c r="D20" s="2">
        <f t="shared" si="3"/>
        <v>0.08</v>
      </c>
      <c r="E20" s="3">
        <f t="shared" si="4"/>
        <v>1415384.6153846155</v>
      </c>
    </row>
    <row r="21" spans="1:5" ht="17.25" customHeight="1" x14ac:dyDescent="0.25">
      <c r="A21" t="s">
        <v>36</v>
      </c>
      <c r="B21" s="4">
        <f>'Ishlagan kuni'!AG21</f>
        <v>2</v>
      </c>
      <c r="C21" s="3">
        <f t="shared" si="2"/>
        <v>153846.15384615384</v>
      </c>
      <c r="D21" s="2">
        <f t="shared" si="3"/>
        <v>0.02</v>
      </c>
      <c r="E21" s="3">
        <f t="shared" si="4"/>
        <v>150769.23076923078</v>
      </c>
    </row>
    <row r="22" spans="1:5" ht="17.25" customHeight="1" x14ac:dyDescent="0.25">
      <c r="A22" t="s">
        <v>37</v>
      </c>
      <c r="B22" s="4">
        <f>'Ishlagan kuni'!AG22</f>
        <v>1</v>
      </c>
      <c r="C22" s="3">
        <f t="shared" si="2"/>
        <v>76923.076923076922</v>
      </c>
      <c r="D22" s="2">
        <f t="shared" si="3"/>
        <v>0.02</v>
      </c>
      <c r="E22" s="3">
        <f t="shared" si="4"/>
        <v>75384.61538461539</v>
      </c>
    </row>
    <row r="23" spans="1:5" x14ac:dyDescent="0.25">
      <c r="A23"/>
      <c r="B23" s="7"/>
      <c r="C23"/>
      <c r="D23"/>
      <c r="E23"/>
    </row>
    <row r="24" spans="1:5" x14ac:dyDescent="0.25">
      <c r="A24"/>
      <c r="B24" s="7"/>
      <c r="C24"/>
      <c r="D24"/>
      <c r="E24"/>
    </row>
    <row r="25" spans="1:5" x14ac:dyDescent="0.25">
      <c r="A25"/>
      <c r="B25" s="7"/>
      <c r="C25"/>
      <c r="D25"/>
      <c r="E25"/>
    </row>
    <row r="26" spans="1:5" x14ac:dyDescent="0.25">
      <c r="A26"/>
      <c r="B26" s="7"/>
      <c r="C26"/>
      <c r="D26"/>
      <c r="E26"/>
    </row>
    <row r="27" spans="1:5" x14ac:dyDescent="0.25">
      <c r="A27"/>
      <c r="B27" s="7"/>
      <c r="C27"/>
      <c r="D27"/>
      <c r="E27"/>
    </row>
    <row r="28" spans="1:5" x14ac:dyDescent="0.25">
      <c r="A28"/>
      <c r="B28" s="7"/>
      <c r="C28"/>
      <c r="D28"/>
      <c r="E28"/>
    </row>
    <row r="29" spans="1:5" x14ac:dyDescent="0.25">
      <c r="A29"/>
      <c r="B29" s="7"/>
      <c r="C29"/>
      <c r="D29"/>
      <c r="E29"/>
    </row>
    <row r="30" spans="1:5" x14ac:dyDescent="0.25">
      <c r="A30"/>
      <c r="B30" s="7"/>
      <c r="C30"/>
      <c r="D30"/>
      <c r="E30"/>
    </row>
    <row r="31" spans="1:5" x14ac:dyDescent="0.25">
      <c r="A31"/>
      <c r="B31" s="7"/>
      <c r="C31"/>
      <c r="D31"/>
      <c r="E31"/>
    </row>
    <row r="32" spans="1:5" x14ac:dyDescent="0.25">
      <c r="A32"/>
      <c r="B32" s="7"/>
      <c r="C32"/>
      <c r="D32"/>
      <c r="E32"/>
    </row>
    <row r="33" spans="1:5" x14ac:dyDescent="0.25">
      <c r="A33"/>
      <c r="B33" s="7"/>
      <c r="C33"/>
      <c r="D33"/>
      <c r="E33"/>
    </row>
    <row r="34" spans="1:5" x14ac:dyDescent="0.25">
      <c r="A34"/>
      <c r="B34" s="7"/>
      <c r="C34"/>
      <c r="D34"/>
      <c r="E34"/>
    </row>
    <row r="35" spans="1:5" x14ac:dyDescent="0.25">
      <c r="A35"/>
      <c r="B35" s="7"/>
      <c r="C35"/>
      <c r="D35"/>
      <c r="E35"/>
    </row>
    <row r="36" spans="1:5" x14ac:dyDescent="0.25">
      <c r="A36"/>
      <c r="B36" s="7"/>
      <c r="C36"/>
      <c r="D36"/>
      <c r="E36"/>
    </row>
    <row r="37" spans="1:5" x14ac:dyDescent="0.25">
      <c r="A37"/>
      <c r="B37" s="7"/>
      <c r="C37"/>
      <c r="D37"/>
      <c r="E37"/>
    </row>
    <row r="38" spans="1:5" x14ac:dyDescent="0.25">
      <c r="A38"/>
      <c r="B38" s="7"/>
      <c r="C38"/>
      <c r="D38"/>
      <c r="E38"/>
    </row>
    <row r="39" spans="1:5" x14ac:dyDescent="0.25">
      <c r="A39"/>
      <c r="B39" s="7"/>
      <c r="C39"/>
      <c r="D39"/>
      <c r="E39"/>
    </row>
    <row r="40" spans="1:5" x14ac:dyDescent="0.25">
      <c r="A40"/>
      <c r="B40" s="7"/>
      <c r="C40"/>
      <c r="D40"/>
      <c r="E40"/>
    </row>
    <row r="41" spans="1:5" x14ac:dyDescent="0.25">
      <c r="A41"/>
      <c r="B41" s="7"/>
      <c r="C41"/>
      <c r="D41"/>
      <c r="E41"/>
    </row>
    <row r="42" spans="1:5" x14ac:dyDescent="0.25">
      <c r="A42"/>
      <c r="B42" s="7"/>
      <c r="C42"/>
      <c r="D42"/>
      <c r="E42"/>
    </row>
    <row r="43" spans="1:5" x14ac:dyDescent="0.25">
      <c r="A43"/>
      <c r="B43" s="7"/>
      <c r="C43"/>
      <c r="D43"/>
      <c r="E43"/>
    </row>
    <row r="44" spans="1:5" x14ac:dyDescent="0.25">
      <c r="A44"/>
      <c r="B44" s="7"/>
      <c r="C44"/>
      <c r="D44"/>
      <c r="E44"/>
    </row>
    <row r="45" spans="1:5" x14ac:dyDescent="0.25">
      <c r="A45"/>
      <c r="B45" s="7"/>
      <c r="C45"/>
      <c r="D45"/>
      <c r="E45"/>
    </row>
    <row r="46" spans="1:5" x14ac:dyDescent="0.25">
      <c r="A46"/>
      <c r="B46" s="7"/>
      <c r="C46"/>
      <c r="D46"/>
      <c r="E46"/>
    </row>
    <row r="47" spans="1:5" x14ac:dyDescent="0.25">
      <c r="A47"/>
      <c r="B47" s="7"/>
      <c r="C47"/>
      <c r="D47"/>
      <c r="E47"/>
    </row>
    <row r="48" spans="1:5" x14ac:dyDescent="0.25">
      <c r="A48"/>
      <c r="B48" s="7"/>
      <c r="C48"/>
      <c r="D48"/>
      <c r="E48"/>
    </row>
    <row r="49" spans="1:5" x14ac:dyDescent="0.25">
      <c r="A49"/>
      <c r="B49" s="7"/>
      <c r="C49"/>
      <c r="D49"/>
      <c r="E49"/>
    </row>
    <row r="50" spans="1:5" x14ac:dyDescent="0.25">
      <c r="A50"/>
      <c r="B50" s="7"/>
      <c r="C50"/>
      <c r="D50"/>
      <c r="E50"/>
    </row>
    <row r="51" spans="1:5" x14ac:dyDescent="0.25">
      <c r="A51"/>
      <c r="B51" s="7"/>
      <c r="C51"/>
      <c r="D51"/>
      <c r="E51"/>
    </row>
    <row r="52" spans="1:5" x14ac:dyDescent="0.25">
      <c r="A52"/>
      <c r="B52" s="7"/>
      <c r="C52"/>
      <c r="D52"/>
      <c r="E52"/>
    </row>
    <row r="53" spans="1:5" x14ac:dyDescent="0.25">
      <c r="A53"/>
      <c r="B53" s="7"/>
      <c r="C53"/>
      <c r="D53"/>
      <c r="E53"/>
    </row>
    <row r="54" spans="1:5" x14ac:dyDescent="0.25">
      <c r="A54"/>
      <c r="B54" s="7"/>
      <c r="C54"/>
      <c r="D54"/>
      <c r="E54"/>
    </row>
    <row r="55" spans="1:5" x14ac:dyDescent="0.25">
      <c r="A55"/>
      <c r="B55" s="7"/>
      <c r="C55"/>
      <c r="D55"/>
      <c r="E55"/>
    </row>
    <row r="56" spans="1:5" x14ac:dyDescent="0.25">
      <c r="A56"/>
      <c r="B56" s="7"/>
      <c r="C56"/>
      <c r="D56"/>
      <c r="E56"/>
    </row>
    <row r="57" spans="1:5" x14ac:dyDescent="0.25">
      <c r="A57"/>
      <c r="B57" s="7"/>
      <c r="C57"/>
      <c r="D57"/>
      <c r="E57"/>
    </row>
    <row r="58" spans="1:5" x14ac:dyDescent="0.25">
      <c r="A58"/>
      <c r="B58" s="7"/>
      <c r="C58"/>
      <c r="D58"/>
      <c r="E58"/>
    </row>
    <row r="59" spans="1:5" x14ac:dyDescent="0.25">
      <c r="A59"/>
      <c r="B59" s="7"/>
      <c r="C59"/>
      <c r="D59"/>
      <c r="E59"/>
    </row>
  </sheetData>
  <mergeCells count="3">
    <mergeCell ref="G1:I1"/>
    <mergeCell ref="A1:E1"/>
    <mergeCell ref="G3:G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tabSelected="1" zoomScale="130" zoomScaleNormal="130" zoomScaleSheetLayoutView="100" workbookViewId="0">
      <selection activeCell="D5" sqref="D5"/>
    </sheetView>
  </sheetViews>
  <sheetFormatPr defaultRowHeight="15" x14ac:dyDescent="0.25"/>
  <cols>
    <col min="1" max="2" width="5.42578125" style="8" customWidth="1"/>
    <col min="3" max="3" width="9.140625" style="8"/>
    <col min="4" max="4" width="16.140625" style="8" customWidth="1"/>
    <col min="5" max="5" width="17.42578125" style="8" bestFit="1" customWidth="1"/>
    <col min="6" max="6" width="10.5703125" style="8" bestFit="1" customWidth="1"/>
    <col min="7" max="7" width="15.5703125" style="8" customWidth="1"/>
    <col min="8" max="9" width="9.140625" style="8"/>
    <col min="10" max="10" width="22" style="8" customWidth="1"/>
    <col min="11" max="11" width="5.42578125" style="8" customWidth="1"/>
    <col min="12" max="16384" width="9.140625" style="8"/>
  </cols>
  <sheetData>
    <row r="1" spans="2:13" ht="37.5" customHeight="1" thickBot="1" x14ac:dyDescent="0.3"/>
    <row r="2" spans="2:13" x14ac:dyDescent="0.25">
      <c r="B2" s="9"/>
      <c r="C2" s="10"/>
      <c r="D2" s="10"/>
      <c r="E2" s="10"/>
      <c r="F2" s="10"/>
      <c r="G2" s="10"/>
      <c r="H2" s="10"/>
      <c r="I2" s="10"/>
      <c r="J2" s="49"/>
    </row>
    <row r="3" spans="2:13" x14ac:dyDescent="0.25">
      <c r="B3" s="23"/>
      <c r="C3" s="24" t="s">
        <v>26</v>
      </c>
      <c r="D3" s="25"/>
      <c r="E3" s="25"/>
      <c r="F3" s="25"/>
      <c r="G3" s="25" t="s">
        <v>24</v>
      </c>
      <c r="H3" s="26" t="s">
        <v>25</v>
      </c>
      <c r="I3" s="25"/>
      <c r="J3" s="50"/>
    </row>
    <row r="4" spans="2:13" x14ac:dyDescent="0.25">
      <c r="B4" s="11"/>
      <c r="C4" s="12"/>
      <c r="D4" s="12"/>
      <c r="E4" s="12"/>
      <c r="F4" s="12"/>
      <c r="G4" s="12"/>
      <c r="H4" s="12"/>
      <c r="I4" s="12"/>
      <c r="J4" s="50"/>
    </row>
    <row r="5" spans="2:13" ht="17.25" customHeight="1" x14ac:dyDescent="0.25">
      <c r="B5" s="11"/>
      <c r="C5" s="12" t="s">
        <v>20</v>
      </c>
      <c r="D5" s="19" t="s">
        <v>0</v>
      </c>
      <c r="E5" s="13" t="s">
        <v>32</v>
      </c>
      <c r="F5" s="18">
        <f>VLOOKUP(D5,'Ish-haqi'!A2:E22,2,0)</f>
        <v>26</v>
      </c>
      <c r="G5" s="12" t="s">
        <v>45</v>
      </c>
      <c r="H5" s="12"/>
      <c r="I5" s="12"/>
      <c r="J5" s="50"/>
    </row>
    <row r="6" spans="2:13" x14ac:dyDescent="0.25">
      <c r="B6" s="11"/>
      <c r="C6" s="12"/>
      <c r="D6" s="12"/>
      <c r="E6" s="12"/>
      <c r="F6" s="12"/>
      <c r="G6" s="12"/>
      <c r="H6" s="12"/>
      <c r="I6" s="12"/>
      <c r="J6" s="50"/>
      <c r="M6" s="27"/>
    </row>
    <row r="7" spans="2:13" ht="17.25" customHeight="1" x14ac:dyDescent="0.25">
      <c r="B7" s="11"/>
      <c r="C7" s="51" t="s">
        <v>31</v>
      </c>
      <c r="D7" s="51"/>
      <c r="E7" s="35">
        <f>VLOOKUP(D5,'Ish-haqi'!A2:E22,5,0)</f>
        <v>1800000</v>
      </c>
      <c r="F7" s="12" t="s">
        <v>21</v>
      </c>
      <c r="G7" s="12"/>
      <c r="H7" s="12"/>
      <c r="I7" s="12"/>
      <c r="J7" s="14"/>
    </row>
    <row r="8" spans="2:13" x14ac:dyDescent="0.25">
      <c r="B8" s="11"/>
      <c r="C8" s="12"/>
      <c r="D8" s="12"/>
      <c r="E8" s="12"/>
      <c r="F8" s="12"/>
      <c r="G8" s="12"/>
      <c r="H8" s="12"/>
      <c r="I8" s="12"/>
      <c r="J8" s="14"/>
    </row>
    <row r="9" spans="2:13" ht="17.25" customHeight="1" x14ac:dyDescent="0.25">
      <c r="B9" s="11"/>
      <c r="C9" s="51" t="s">
        <v>23</v>
      </c>
      <c r="D9" s="51"/>
      <c r="E9" s="51"/>
      <c r="F9" s="51"/>
      <c r="G9" s="51"/>
      <c r="H9" s="51"/>
      <c r="I9" s="51"/>
      <c r="J9" s="52"/>
    </row>
    <row r="10" spans="2:13" x14ac:dyDescent="0.25">
      <c r="B10" s="11"/>
      <c r="C10" s="12"/>
      <c r="D10" s="12"/>
      <c r="E10" s="12"/>
      <c r="F10" s="12"/>
      <c r="G10" s="12"/>
      <c r="H10" s="12"/>
      <c r="I10" s="12"/>
      <c r="J10" s="14"/>
    </row>
    <row r="11" spans="2:13" ht="17.25" customHeight="1" x14ac:dyDescent="0.25">
      <c r="B11" s="11"/>
      <c r="C11" s="51" t="s">
        <v>33</v>
      </c>
      <c r="D11" s="51"/>
      <c r="E11" s="51"/>
      <c r="F11" s="51"/>
      <c r="G11" s="51"/>
      <c r="H11" s="53"/>
      <c r="I11" s="53"/>
      <c r="J11" s="14" t="s">
        <v>22</v>
      </c>
    </row>
    <row r="12" spans="2:13" ht="15.75" thickBot="1" x14ac:dyDescent="0.3">
      <c r="B12" s="15"/>
      <c r="C12" s="16"/>
      <c r="D12" s="16"/>
      <c r="E12" s="16"/>
      <c r="F12" s="16"/>
      <c r="G12" s="16"/>
      <c r="H12" s="16"/>
      <c r="I12" s="16"/>
      <c r="J12" s="17"/>
    </row>
    <row r="13" spans="2:13" ht="33" customHeight="1" x14ac:dyDescent="0.25"/>
    <row r="14" spans="2:13" ht="15.75" thickBot="1" x14ac:dyDescent="0.3"/>
    <row r="15" spans="2:13" x14ac:dyDescent="0.25">
      <c r="B15" s="9"/>
      <c r="C15" s="10"/>
      <c r="D15" s="10"/>
      <c r="E15" s="10"/>
      <c r="F15" s="10"/>
      <c r="G15" s="10"/>
      <c r="H15" s="10"/>
      <c r="I15" s="10"/>
      <c r="J15" s="49"/>
    </row>
    <row r="16" spans="2:13" x14ac:dyDescent="0.25">
      <c r="B16" s="23"/>
      <c r="C16" s="24" t="s">
        <v>26</v>
      </c>
      <c r="D16" s="25"/>
      <c r="E16" s="25"/>
      <c r="F16" s="25"/>
      <c r="G16" s="25" t="s">
        <v>24</v>
      </c>
      <c r="H16" s="26" t="s">
        <v>27</v>
      </c>
      <c r="I16" s="25"/>
      <c r="J16" s="50"/>
    </row>
    <row r="17" spans="2:10" x14ac:dyDescent="0.25">
      <c r="B17" s="11"/>
      <c r="C17" s="12"/>
      <c r="D17" s="12"/>
      <c r="E17" s="12"/>
      <c r="F17" s="12"/>
      <c r="G17" s="12"/>
      <c r="H17" s="12"/>
      <c r="I17" s="12"/>
      <c r="J17" s="50"/>
    </row>
    <row r="18" spans="2:10" ht="30" x14ac:dyDescent="0.25">
      <c r="B18" s="11"/>
      <c r="C18" s="12" t="s">
        <v>20</v>
      </c>
      <c r="D18" s="29" t="s">
        <v>9</v>
      </c>
      <c r="E18" s="13" t="s">
        <v>32</v>
      </c>
      <c r="F18" s="41">
        <f>VLOOKUP(D18,qaydnoma,2,0)</f>
        <v>19</v>
      </c>
      <c r="G18" s="12" t="s">
        <v>45</v>
      </c>
      <c r="H18" s="12"/>
      <c r="I18" s="12"/>
      <c r="J18" s="50"/>
    </row>
    <row r="19" spans="2:10" x14ac:dyDescent="0.25">
      <c r="B19" s="11"/>
      <c r="C19" s="12"/>
      <c r="D19" s="12"/>
      <c r="E19" s="12"/>
      <c r="F19" s="12"/>
      <c r="G19" s="12"/>
      <c r="H19" s="12"/>
      <c r="I19" s="12"/>
      <c r="J19" s="50"/>
    </row>
    <row r="20" spans="2:10" x14ac:dyDescent="0.25">
      <c r="B20" s="11"/>
      <c r="C20" s="51" t="s">
        <v>31</v>
      </c>
      <c r="D20" s="51"/>
      <c r="E20" s="42">
        <f>VLOOKUP(D18,qaydnoma,5,0)</f>
        <v>1373846.1538461538</v>
      </c>
      <c r="F20" s="12" t="s">
        <v>21</v>
      </c>
      <c r="G20" s="12"/>
      <c r="H20" s="12"/>
      <c r="I20" s="12"/>
      <c r="J20" s="14"/>
    </row>
    <row r="21" spans="2:10" x14ac:dyDescent="0.25">
      <c r="B21" s="11"/>
      <c r="C21" s="12"/>
      <c r="D21" s="12"/>
      <c r="E21" s="12"/>
      <c r="F21" s="12"/>
      <c r="G21" s="12"/>
      <c r="H21" s="12"/>
      <c r="I21" s="12"/>
      <c r="J21" s="14"/>
    </row>
    <row r="22" spans="2:10" x14ac:dyDescent="0.25">
      <c r="B22" s="11"/>
      <c r="C22" s="51" t="s">
        <v>23</v>
      </c>
      <c r="D22" s="51"/>
      <c r="E22" s="51"/>
      <c r="F22" s="51"/>
      <c r="G22" s="51"/>
      <c r="H22" s="51"/>
      <c r="I22" s="51"/>
      <c r="J22" s="52"/>
    </row>
    <row r="23" spans="2:10" x14ac:dyDescent="0.25">
      <c r="B23" s="11"/>
      <c r="C23" s="12"/>
      <c r="D23" s="12"/>
      <c r="E23" s="12"/>
      <c r="F23" s="12"/>
      <c r="G23" s="12"/>
      <c r="H23" s="12"/>
      <c r="I23" s="12"/>
      <c r="J23" s="14"/>
    </row>
    <row r="24" spans="2:10" x14ac:dyDescent="0.25">
      <c r="B24" s="11"/>
      <c r="C24" s="51" t="s">
        <v>34</v>
      </c>
      <c r="D24" s="51"/>
      <c r="E24" s="51"/>
      <c r="F24" s="51"/>
      <c r="G24" s="51"/>
      <c r="H24" s="53"/>
      <c r="I24" s="53"/>
      <c r="J24" s="14" t="s">
        <v>22</v>
      </c>
    </row>
    <row r="25" spans="2:10" ht="15.75" thickBot="1" x14ac:dyDescent="0.3">
      <c r="B25" s="15"/>
      <c r="C25" s="16"/>
      <c r="D25" s="16"/>
      <c r="E25" s="16"/>
      <c r="F25" s="16"/>
      <c r="G25" s="16"/>
      <c r="H25" s="16"/>
      <c r="I25" s="16"/>
      <c r="J25" s="17"/>
    </row>
    <row r="26" spans="2:10" ht="28.5" customHeight="1" x14ac:dyDescent="0.25"/>
  </sheetData>
  <mergeCells count="10">
    <mergeCell ref="C20:D20"/>
    <mergeCell ref="C22:J22"/>
    <mergeCell ref="C24:G24"/>
    <mergeCell ref="H24:I24"/>
    <mergeCell ref="J15:J19"/>
    <mergeCell ref="J2:J6"/>
    <mergeCell ref="C11:G11"/>
    <mergeCell ref="C9:J9"/>
    <mergeCell ref="C7:D7"/>
    <mergeCell ref="H11:I11"/>
  </mergeCells>
  <pageMargins left="0.7" right="0.7" top="0.75" bottom="0.75" header="0.3" footer="0.3"/>
  <pageSetup paperSize="9" scale="62" orientation="portrait" r:id="rId1"/>
  <rowBreaks count="1" manualBreakCount="1">
    <brk id="1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Ishlagan kuni</vt:lpstr>
      <vt:lpstr>Ish-haqi</vt:lpstr>
      <vt:lpstr>Patta</vt:lpstr>
      <vt:lpstr>qaydnoma</vt:lpstr>
      <vt:lpstr>Patta!Область_печати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dcterms:created xsi:type="dcterms:W3CDTF">2015-06-04T05:37:14Z</dcterms:created>
  <dcterms:modified xsi:type="dcterms:W3CDTF">2020-09-16T13:11:01Z</dcterms:modified>
</cp:coreProperties>
</file>