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B12" i="1"/>
  <c r="N12" s="1"/>
  <c r="C12"/>
  <c r="D12"/>
  <c r="E12"/>
  <c r="F12"/>
  <c r="G12"/>
  <c r="H12"/>
  <c r="I12"/>
  <c r="J12"/>
  <c r="K12"/>
  <c r="L12"/>
  <c r="M12"/>
  <c r="N4"/>
  <c r="N5"/>
  <c r="N6"/>
  <c r="N7"/>
  <c r="N8"/>
  <c r="N9"/>
  <c r="N10"/>
  <c r="N11"/>
</calcChain>
</file>

<file path=xl/comments1.xml><?xml version="1.0" encoding="utf-8"?>
<comments xmlns="http://schemas.openxmlformats.org/spreadsheetml/2006/main">
  <authors>
    <author>Автор</author>
  </authors>
  <commentList>
    <comment ref="A8" authorId="0">
      <text>
        <r>
          <rPr>
            <b/>
            <sz val="9"/>
            <color indexed="81"/>
            <rFont val="Tahoma"/>
            <family val="2"/>
            <charset val="204"/>
          </rPr>
          <t>Magnitofon markalarini yangilash lozim.</t>
        </r>
      </text>
    </comment>
    <comment ref="A9" authorId="0">
      <text>
        <r>
          <rPr>
            <b/>
            <sz val="9"/>
            <color indexed="9"/>
            <rFont val="Tahoma"/>
            <family val="2"/>
            <charset val="204"/>
          </rPr>
          <t xml:space="preserve">Omborda 567 ta qolibdi. Ularning sonini ko'paytirish lozim.
</t>
        </r>
      </text>
    </comment>
    <comment ref="A11" authorId="0">
      <text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<sst xmlns="http://schemas.openxmlformats.org/spreadsheetml/2006/main" count="26" uniqueCount="25">
  <si>
    <t>Mahsulotlar</t>
  </si>
  <si>
    <t>Televizor</t>
  </si>
  <si>
    <t>DVD player</t>
  </si>
  <si>
    <t>Changyutgich</t>
  </si>
  <si>
    <t>Muzlatgich</t>
  </si>
  <si>
    <t>Magnitofon</t>
  </si>
  <si>
    <t>Noutbuk</t>
  </si>
  <si>
    <t>Planshet</t>
  </si>
  <si>
    <t>Smartfon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</si>
  <si>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</si>
  <si>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</si>
  <si>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</si>
  <si>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</si>
  <si>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</si>
  <si>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</si>
  <si>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</si>
  <si>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</si>
  <si>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</si>
  <si>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</si>
  <si>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</si>
  <si>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</si>
  <si>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Jami</t>
  </si>
  <si>
    <t>Mahsulotlar bo'yicha yillik hisobot</t>
  </si>
  <si>
    <t>Buxoro viloyati</t>
  </si>
  <si>
    <t>Filial:</t>
  </si>
</sst>
</file>

<file path=xl/styles.xml><?xml version="1.0" encoding="utf-8"?>
<styleSheet xmlns="http://schemas.openxmlformats.org/spreadsheetml/2006/main">
  <numFmts count="3">
    <numFmt numFmtId="43" formatCode="_-* #,##0.00_р_._-;\-* #,##0.00_р_._-;_-* &quot;-&quot;??_р_._-;_-@_-"/>
    <numFmt numFmtId="164" formatCode="_-* #,##0_р_._-;\-* #,##0_р_._-;_-* &quot;-&quot;??_р_._-;_-@_-"/>
    <numFmt numFmtId="165" formatCode="_-* #,##0\ [$so'm-443]_-;\-* #,##0\ [$so'm-443]_-;_-* &quot;-&quot;??\ [$so'm-443]_-;_-@_-"/>
  </numFmts>
  <fonts count="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1"/>
      <charset val="204"/>
      <scheme val="maj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9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/>
      <top style="thick">
        <color theme="4"/>
      </top>
      <bottom style="thin">
        <color theme="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4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2" borderId="4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164" fontId="0" fillId="2" borderId="5" xfId="1" applyNumberFormat="1" applyFont="1" applyFill="1" applyBorder="1" applyAlignment="1">
      <alignment vertical="center"/>
    </xf>
    <xf numFmtId="164" fontId="0" fillId="0" borderId="5" xfId="1" applyNumberFormat="1" applyFont="1" applyBorder="1" applyAlignment="1">
      <alignment vertical="center"/>
    </xf>
    <xf numFmtId="165" fontId="0" fillId="2" borderId="5" xfId="0" applyNumberFormat="1" applyFont="1" applyFill="1" applyBorder="1" applyAlignment="1">
      <alignment vertical="center"/>
    </xf>
    <xf numFmtId="165" fontId="4" fillId="2" borderId="5" xfId="0" applyNumberFormat="1" applyFont="1" applyFill="1" applyBorder="1" applyAlignment="1">
      <alignment vertical="center"/>
    </xf>
    <xf numFmtId="164" fontId="0" fillId="0" borderId="0" xfId="0" applyNumberFormat="1"/>
    <xf numFmtId="0" fontId="5" fillId="0" borderId="1" xfId="3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2" applyBorder="1" applyAlignment="1">
      <alignment horizontal="center" vertical="center"/>
    </xf>
  </cellXfs>
  <cellStyles count="4">
    <cellStyle name="Заголовок 1" xfId="3" builtinId="16"/>
    <cellStyle name="Название" xfId="2" builtinId="15"/>
    <cellStyle name="Обычный" xfId="0" builtinId="0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0</xdr:col>
      <xdr:colOff>1066800</xdr:colOff>
      <xdr:row>1</xdr:row>
      <xdr:rowOff>383382</xdr:rowOff>
    </xdr:to>
    <xdr:pic>
      <xdr:nvPicPr>
        <xdr:cNvPr id="2" name="Рисунок 1" descr="eshmat servi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8100"/>
          <a:ext cx="1019175" cy="76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>
      <selection activeCell="A13" sqref="A13"/>
    </sheetView>
  </sheetViews>
  <sheetFormatPr defaultRowHeight="15"/>
  <cols>
    <col min="1" max="1" width="17.85546875" customWidth="1"/>
    <col min="2" max="13" width="12.42578125" bestFit="1" customWidth="1"/>
    <col min="14" max="14" width="13.7109375" bestFit="1" customWidth="1"/>
  </cols>
  <sheetData>
    <row r="1" spans="1:14" ht="33" customHeight="1" thickBot="1">
      <c r="A1" s="11"/>
      <c r="B1" s="10" t="s">
        <v>22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3" customHeight="1" thickTop="1">
      <c r="A2" s="12"/>
      <c r="B2" s="13" t="s">
        <v>24</v>
      </c>
      <c r="C2" s="13"/>
      <c r="D2" s="13"/>
      <c r="E2" s="13"/>
      <c r="F2" s="13"/>
      <c r="G2" s="13"/>
      <c r="H2" s="13" t="s">
        <v>23</v>
      </c>
      <c r="I2" s="13"/>
      <c r="J2" s="13"/>
      <c r="K2" s="13"/>
      <c r="L2" s="13"/>
      <c r="M2" s="13"/>
      <c r="N2" s="13"/>
    </row>
    <row r="3" spans="1:14" ht="28.5" customHeight="1" thickBot="1">
      <c r="A3" s="1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</row>
    <row r="4" spans="1:14" ht="19.5" customHeight="1">
      <c r="A4" s="3" t="s">
        <v>1</v>
      </c>
      <c r="B4" s="5">
        <v>5668</v>
      </c>
      <c r="C4" s="5">
        <v>1235</v>
      </c>
      <c r="D4" s="5">
        <v>9965</v>
      </c>
      <c r="E4" s="5">
        <v>2729</v>
      </c>
      <c r="F4" s="5">
        <v>5668</v>
      </c>
      <c r="G4" s="5">
        <v>1235</v>
      </c>
      <c r="H4" s="5">
        <v>9965</v>
      </c>
      <c r="I4" s="5">
        <v>2729</v>
      </c>
      <c r="J4" s="5">
        <v>2729</v>
      </c>
      <c r="K4" s="5">
        <v>5668</v>
      </c>
      <c r="L4" s="5">
        <v>1235</v>
      </c>
      <c r="M4" s="5">
        <v>9965</v>
      </c>
      <c r="N4" s="5">
        <f t="shared" ref="N4:N12" si="0">SUM(B4:M4)</f>
        <v>58791</v>
      </c>
    </row>
    <row r="5" spans="1:14" ht="19.5" customHeight="1">
      <c r="A5" s="4" t="s">
        <v>2</v>
      </c>
      <c r="B5" s="6">
        <v>5516</v>
      </c>
      <c r="C5" s="6">
        <v>2354</v>
      </c>
      <c r="D5" s="6">
        <v>8156</v>
      </c>
      <c r="E5" s="6">
        <v>4538</v>
      </c>
      <c r="F5" s="6">
        <v>5516</v>
      </c>
      <c r="G5" s="6">
        <v>2354</v>
      </c>
      <c r="H5" s="6">
        <v>8156</v>
      </c>
      <c r="I5" s="6">
        <v>4538</v>
      </c>
      <c r="J5" s="6">
        <v>4538</v>
      </c>
      <c r="K5" s="6">
        <v>5516</v>
      </c>
      <c r="L5" s="6">
        <v>2354</v>
      </c>
      <c r="M5" s="6">
        <v>8156</v>
      </c>
      <c r="N5" s="6">
        <f t="shared" si="0"/>
        <v>61692</v>
      </c>
    </row>
    <row r="6" spans="1:14" ht="19.5" customHeight="1">
      <c r="A6" s="3" t="s">
        <v>3</v>
      </c>
      <c r="B6" s="5">
        <v>5364</v>
      </c>
      <c r="C6" s="5">
        <v>3473</v>
      </c>
      <c r="D6" s="5">
        <v>6347</v>
      </c>
      <c r="E6" s="5">
        <v>6347</v>
      </c>
      <c r="F6" s="5">
        <v>5364</v>
      </c>
      <c r="G6" s="5">
        <v>3473</v>
      </c>
      <c r="H6" s="5">
        <v>6347</v>
      </c>
      <c r="I6" s="5">
        <v>6347</v>
      </c>
      <c r="J6" s="5">
        <v>6347</v>
      </c>
      <c r="K6" s="5">
        <v>5364</v>
      </c>
      <c r="L6" s="5">
        <v>3473</v>
      </c>
      <c r="M6" s="5">
        <v>6347</v>
      </c>
      <c r="N6" s="5">
        <f t="shared" si="0"/>
        <v>64593</v>
      </c>
    </row>
    <row r="7" spans="1:14" ht="19.5" customHeight="1">
      <c r="A7" s="4" t="s">
        <v>4</v>
      </c>
      <c r="B7" s="6">
        <v>5212</v>
      </c>
      <c r="C7" s="6">
        <v>4592</v>
      </c>
      <c r="D7" s="6">
        <v>4538</v>
      </c>
      <c r="E7" s="6">
        <v>8156</v>
      </c>
      <c r="F7" s="6">
        <v>5212</v>
      </c>
      <c r="G7" s="6">
        <v>4592</v>
      </c>
      <c r="H7" s="6">
        <v>4538</v>
      </c>
      <c r="I7" s="6">
        <v>8156</v>
      </c>
      <c r="J7" s="6">
        <v>8156</v>
      </c>
      <c r="K7" s="6">
        <v>5212</v>
      </c>
      <c r="L7" s="6">
        <v>4592</v>
      </c>
      <c r="M7" s="6">
        <v>4538</v>
      </c>
      <c r="N7" s="6">
        <f t="shared" si="0"/>
        <v>67494</v>
      </c>
    </row>
    <row r="8" spans="1:14" ht="19.5" customHeight="1">
      <c r="A8" s="3" t="s">
        <v>5</v>
      </c>
      <c r="B8" s="5">
        <v>5060</v>
      </c>
      <c r="C8" s="5">
        <v>5711</v>
      </c>
      <c r="D8" s="5">
        <v>2729</v>
      </c>
      <c r="E8" s="5">
        <v>9965</v>
      </c>
      <c r="F8" s="5">
        <v>5060</v>
      </c>
      <c r="G8" s="5">
        <v>5711</v>
      </c>
      <c r="H8" s="5">
        <v>2729</v>
      </c>
      <c r="I8" s="5">
        <v>9965</v>
      </c>
      <c r="J8" s="5">
        <v>9965</v>
      </c>
      <c r="K8" s="5">
        <v>5060</v>
      </c>
      <c r="L8" s="5">
        <v>5711</v>
      </c>
      <c r="M8" s="5">
        <v>2729</v>
      </c>
      <c r="N8" s="5">
        <f t="shared" si="0"/>
        <v>70395</v>
      </c>
    </row>
    <row r="9" spans="1:14" ht="19.5" customHeight="1">
      <c r="A9" s="4" t="s">
        <v>6</v>
      </c>
      <c r="B9" s="6">
        <v>4908</v>
      </c>
      <c r="C9" s="6">
        <v>6830</v>
      </c>
      <c r="D9" s="6">
        <v>6544</v>
      </c>
      <c r="E9" s="6">
        <v>2729</v>
      </c>
      <c r="F9" s="6">
        <v>4908</v>
      </c>
      <c r="G9" s="6">
        <v>6830</v>
      </c>
      <c r="H9" s="6">
        <v>6544</v>
      </c>
      <c r="I9" s="6">
        <v>2729</v>
      </c>
      <c r="J9" s="6">
        <v>2729</v>
      </c>
      <c r="K9" s="6">
        <v>4908</v>
      </c>
      <c r="L9" s="6">
        <v>6830</v>
      </c>
      <c r="M9" s="6">
        <v>6544</v>
      </c>
      <c r="N9" s="6">
        <f t="shared" si="0"/>
        <v>63033</v>
      </c>
    </row>
    <row r="10" spans="1:14" ht="19.5" customHeight="1">
      <c r="A10" s="3" t="s">
        <v>7</v>
      </c>
      <c r="B10" s="5">
        <v>4756</v>
      </c>
      <c r="C10" s="5">
        <v>7949</v>
      </c>
      <c r="D10" s="5">
        <v>8979</v>
      </c>
      <c r="E10" s="5">
        <v>4538</v>
      </c>
      <c r="F10" s="5">
        <v>4756</v>
      </c>
      <c r="G10" s="5">
        <v>7949</v>
      </c>
      <c r="H10" s="5">
        <v>8979</v>
      </c>
      <c r="I10" s="5">
        <v>4538</v>
      </c>
      <c r="J10" s="5">
        <v>4538</v>
      </c>
      <c r="K10" s="5">
        <v>4756</v>
      </c>
      <c r="L10" s="5">
        <v>7949</v>
      </c>
      <c r="M10" s="5">
        <v>8979</v>
      </c>
      <c r="N10" s="5">
        <f t="shared" si="0"/>
        <v>78666</v>
      </c>
    </row>
    <row r="11" spans="1:14" ht="19.5" customHeight="1">
      <c r="A11" s="4" t="s">
        <v>8</v>
      </c>
      <c r="B11" s="6">
        <v>4604</v>
      </c>
      <c r="C11" s="6">
        <v>9068</v>
      </c>
      <c r="D11" s="6">
        <v>4844</v>
      </c>
      <c r="E11" s="6">
        <v>6347</v>
      </c>
      <c r="F11" s="6">
        <v>4604</v>
      </c>
      <c r="G11" s="6">
        <v>9068</v>
      </c>
      <c r="H11" s="6">
        <v>4844</v>
      </c>
      <c r="I11" s="6">
        <v>6347</v>
      </c>
      <c r="J11" s="6">
        <v>6347</v>
      </c>
      <c r="K11" s="6">
        <v>4604</v>
      </c>
      <c r="L11" s="6">
        <v>9068</v>
      </c>
      <c r="M11" s="6">
        <v>4844</v>
      </c>
      <c r="N11" s="6">
        <f t="shared" si="0"/>
        <v>74589</v>
      </c>
    </row>
    <row r="12" spans="1:14" ht="28.5" customHeight="1">
      <c r="A12" s="3" t="s">
        <v>21</v>
      </c>
      <c r="B12" s="7">
        <f t="shared" ref="B12:M12" si="1">SUM(B4:B11)</f>
        <v>41088</v>
      </c>
      <c r="C12" s="7">
        <f t="shared" si="1"/>
        <v>41212</v>
      </c>
      <c r="D12" s="7">
        <f t="shared" si="1"/>
        <v>52102</v>
      </c>
      <c r="E12" s="7">
        <f t="shared" si="1"/>
        <v>45349</v>
      </c>
      <c r="F12" s="7">
        <f t="shared" si="1"/>
        <v>41088</v>
      </c>
      <c r="G12" s="7">
        <f t="shared" si="1"/>
        <v>41212</v>
      </c>
      <c r="H12" s="7">
        <f t="shared" si="1"/>
        <v>52102</v>
      </c>
      <c r="I12" s="7">
        <f t="shared" si="1"/>
        <v>45349</v>
      </c>
      <c r="J12" s="7">
        <f t="shared" si="1"/>
        <v>45349</v>
      </c>
      <c r="K12" s="7">
        <f t="shared" si="1"/>
        <v>41088</v>
      </c>
      <c r="L12" s="7">
        <f t="shared" si="1"/>
        <v>41212</v>
      </c>
      <c r="M12" s="7">
        <f t="shared" si="1"/>
        <v>52102</v>
      </c>
      <c r="N12" s="8">
        <f t="shared" si="0"/>
        <v>539253</v>
      </c>
    </row>
    <row r="13" spans="1:14">
      <c r="N13" s="9"/>
    </row>
  </sheetData>
  <mergeCells count="4">
    <mergeCell ref="B1:N1"/>
    <mergeCell ref="A1:A2"/>
    <mergeCell ref="B2:G2"/>
    <mergeCell ref="H2:N2"/>
  </mergeCells>
  <pageMargins left="0.7" right="0.7" top="0.75" bottom="0.75" header="0.3" footer="0.3"/>
  <pageSetup paperSize="9" scale="41" orientation="portrait" horizontalDpi="180" verticalDpi="18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2015-05-30T19:10:28Z</dcterms:modified>
</cp:coreProperties>
</file>