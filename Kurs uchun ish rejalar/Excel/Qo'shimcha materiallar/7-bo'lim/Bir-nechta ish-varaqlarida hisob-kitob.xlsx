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Buxoro" sheetId="1" r:id="rId1"/>
    <sheet name="Navoiy" sheetId="4" r:id="rId2"/>
    <sheet name="Samarqand" sheetId="5" r:id="rId3"/>
    <sheet name="Andijon" sheetId="7" r:id="rId4"/>
    <sheet name="Umimiy natija" sheetId="6" r:id="rId5"/>
  </sheets>
  <calcPr calcId="124519"/>
</workbook>
</file>

<file path=xl/calcChain.xml><?xml version="1.0" encoding="utf-8"?>
<calcChain xmlns="http://schemas.openxmlformats.org/spreadsheetml/2006/main">
  <c r="B12" i="6"/>
  <c r="N6"/>
  <c r="N8"/>
  <c r="N10"/>
  <c r="M12" i="7"/>
  <c r="L12"/>
  <c r="K12"/>
  <c r="J12"/>
  <c r="I12"/>
  <c r="H12"/>
  <c r="G12"/>
  <c r="F12"/>
  <c r="E12"/>
  <c r="D12"/>
  <c r="C12"/>
  <c r="B12"/>
  <c r="N12" s="1"/>
  <c r="N11"/>
  <c r="N10"/>
  <c r="N9"/>
  <c r="N8"/>
  <c r="N7"/>
  <c r="N6"/>
  <c r="N5"/>
  <c r="N4"/>
  <c r="M12" i="6"/>
  <c r="L12"/>
  <c r="K12"/>
  <c r="J12"/>
  <c r="I12"/>
  <c r="H12"/>
  <c r="G12"/>
  <c r="F12"/>
  <c r="E12"/>
  <c r="D12"/>
  <c r="C12"/>
  <c r="N11"/>
  <c r="N9"/>
  <c r="N7"/>
  <c r="N5"/>
  <c r="M12" i="5"/>
  <c r="L12"/>
  <c r="K12"/>
  <c r="J12"/>
  <c r="I12"/>
  <c r="H12"/>
  <c r="G12"/>
  <c r="F12"/>
  <c r="E12"/>
  <c r="D12"/>
  <c r="C12"/>
  <c r="B12"/>
  <c r="N12" s="1"/>
  <c r="N11"/>
  <c r="N10"/>
  <c r="N9"/>
  <c r="N8"/>
  <c r="N7"/>
  <c r="N6"/>
  <c r="N5"/>
  <c r="N4"/>
  <c r="M12" i="4"/>
  <c r="L12"/>
  <c r="K12"/>
  <c r="J12"/>
  <c r="I12"/>
  <c r="H12"/>
  <c r="G12"/>
  <c r="F12"/>
  <c r="E12"/>
  <c r="D12"/>
  <c r="C12"/>
  <c r="B12"/>
  <c r="N12" s="1"/>
  <c r="N11"/>
  <c r="N10"/>
  <c r="N9"/>
  <c r="N8"/>
  <c r="N7"/>
  <c r="N6"/>
  <c r="N5"/>
  <c r="N4"/>
  <c r="B12" i="1"/>
  <c r="C12"/>
  <c r="D12"/>
  <c r="E12"/>
  <c r="F12"/>
  <c r="G12"/>
  <c r="H12"/>
  <c r="I12"/>
  <c r="J12"/>
  <c r="K12"/>
  <c r="L12"/>
  <c r="M12"/>
  <c r="N4"/>
  <c r="N5"/>
  <c r="N6"/>
  <c r="N7"/>
  <c r="N8"/>
  <c r="N9"/>
  <c r="N10"/>
  <c r="N11"/>
  <c r="N12" i="6" l="1"/>
  <c r="N4"/>
  <c r="N12" i="1"/>
</calcChain>
</file>

<file path=xl/sharedStrings.xml><?xml version="1.0" encoding="utf-8"?>
<sst xmlns="http://schemas.openxmlformats.org/spreadsheetml/2006/main" count="129" uniqueCount="29">
  <si>
    <t>Mahsulotlar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</si>
  <si>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</si>
  <si>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</si>
  <si>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</si>
  <si>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</si>
  <si>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</si>
  <si>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</si>
  <si>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</si>
  <si>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</si>
  <si>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</si>
  <si>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</si>
  <si>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</si>
  <si>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</si>
  <si>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</si>
  <si>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</si>
  <si>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</si>
  <si>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</si>
  <si>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</si>
  <si>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</si>
  <si>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</si>
  <si>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</si>
  <si>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Jami</t>
  </si>
  <si>
    <t>Mahsulotlar bo'yicha yillik hisobot</t>
  </si>
  <si>
    <t>Buxoro viloyati</t>
  </si>
  <si>
    <t>Filial:</t>
  </si>
  <si>
    <t>Navoiy viloyati</t>
  </si>
  <si>
    <t>Samarqand viloyati</t>
  </si>
  <si>
    <t>Andijon viloyati</t>
  </si>
  <si>
    <t>Filiallar bo'yicha umumiy natija</t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</si>
</sst>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_-* #,##0_р_._-;\-* #,##0_р_._-;_-* &quot;-&quot;??_р_._-;_-@_-"/>
    <numFmt numFmtId="165" formatCode="_-* #,##0\ [$so'm-443]_-;\-* #,##0\ [$so'm-443]_-;_-* &quot;-&quot;??\ [$so'm-443]_-;_-@_-"/>
  </numFmts>
  <fonts count="1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/>
      <top style="thick">
        <color theme="4"/>
      </top>
      <bottom style="thin">
        <color theme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7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4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64" fontId="6" fillId="2" borderId="5" xfId="1" applyNumberFormat="1" applyFont="1" applyFill="1" applyBorder="1" applyAlignment="1">
      <alignment vertical="center"/>
    </xf>
    <xf numFmtId="164" fontId="6" fillId="0" borderId="5" xfId="1" applyNumberFormat="1" applyFont="1" applyBorder="1" applyAlignment="1">
      <alignment vertical="center"/>
    </xf>
    <xf numFmtId="165" fontId="6" fillId="2" borderId="5" xfId="0" applyNumberFormat="1" applyFont="1" applyFill="1" applyBorder="1" applyAlignment="1">
      <alignment vertical="center"/>
    </xf>
    <xf numFmtId="0" fontId="5" fillId="0" borderId="1" xfId="3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2" applyBorder="1" applyAlignment="1">
      <alignment horizontal="center" vertical="center"/>
    </xf>
    <xf numFmtId="165" fontId="7" fillId="2" borderId="5" xfId="0" applyNumberFormat="1" applyFont="1" applyFill="1" applyBorder="1" applyAlignment="1">
      <alignment vertical="center"/>
    </xf>
    <xf numFmtId="165" fontId="8" fillId="2" borderId="5" xfId="0" applyNumberFormat="1" applyFont="1" applyFill="1" applyBorder="1" applyAlignment="1">
      <alignment vertical="center"/>
    </xf>
    <xf numFmtId="165" fontId="9" fillId="2" borderId="5" xfId="0" applyNumberFormat="1" applyFont="1" applyFill="1" applyBorder="1" applyAlignment="1">
      <alignment vertical="center"/>
    </xf>
    <xf numFmtId="164" fontId="8" fillId="2" borderId="5" xfId="1" applyNumberFormat="1" applyFont="1" applyFill="1" applyBorder="1" applyAlignment="1">
      <alignment vertical="center"/>
    </xf>
    <xf numFmtId="164" fontId="8" fillId="0" borderId="5" xfId="1" applyNumberFormat="1" applyFont="1" applyBorder="1" applyAlignment="1">
      <alignment vertical="center"/>
    </xf>
  </cellXfs>
  <cellStyles count="4">
    <cellStyle name="Заголовок 1" xfId="3" builtinId="16"/>
    <cellStyle name="Название" xfId="2" builtinId="15"/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060"/>
  </sheetPr>
  <dimension ref="A1:N12"/>
  <sheetViews>
    <sheetView tabSelected="1" workbookViewId="0">
      <selection activeCell="A14" sqref="A14"/>
    </sheetView>
  </sheetViews>
  <sheetFormatPr defaultRowHeight="15"/>
  <cols>
    <col min="1" max="1" width="17" customWidth="1"/>
    <col min="2" max="13" width="11.5703125" customWidth="1"/>
    <col min="14" max="14" width="13" customWidth="1"/>
  </cols>
  <sheetData>
    <row r="1" spans="1:14" ht="33" customHeight="1" thickBot="1">
      <c r="A1" s="9"/>
      <c r="B1" s="8" t="s">
        <v>22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3" customHeight="1" thickTop="1">
      <c r="A2" s="10"/>
      <c r="B2" s="11" t="s">
        <v>24</v>
      </c>
      <c r="C2" s="11"/>
      <c r="D2" s="11"/>
      <c r="E2" s="11"/>
      <c r="F2" s="11"/>
      <c r="G2" s="11"/>
      <c r="H2" s="11" t="s">
        <v>23</v>
      </c>
      <c r="I2" s="11"/>
      <c r="J2" s="11"/>
      <c r="K2" s="11"/>
      <c r="L2" s="11"/>
      <c r="M2" s="11"/>
      <c r="N2" s="11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5">
        <v>1234</v>
      </c>
      <c r="C4" s="5">
        <v>9011</v>
      </c>
      <c r="D4" s="5">
        <v>4668</v>
      </c>
      <c r="E4" s="5">
        <v>4658</v>
      </c>
      <c r="F4" s="5">
        <v>1234</v>
      </c>
      <c r="G4" s="5">
        <v>9011</v>
      </c>
      <c r="H4" s="5">
        <v>4668</v>
      </c>
      <c r="I4" s="5">
        <v>4658</v>
      </c>
      <c r="J4" s="5">
        <v>1234</v>
      </c>
      <c r="K4" s="5">
        <v>9011</v>
      </c>
      <c r="L4" s="5">
        <v>4668</v>
      </c>
      <c r="M4" s="5">
        <v>4658</v>
      </c>
      <c r="N4" s="5">
        <f t="shared" ref="N4:N12" si="0">SUM(B4:M4)</f>
        <v>58713</v>
      </c>
    </row>
    <row r="5" spans="1:14" ht="19.5" customHeight="1">
      <c r="A5" s="4" t="s">
        <v>2</v>
      </c>
      <c r="B5" s="6">
        <v>2345</v>
      </c>
      <c r="C5" s="6">
        <v>8910</v>
      </c>
      <c r="D5" s="6">
        <v>4687</v>
      </c>
      <c r="E5" s="6">
        <v>1236</v>
      </c>
      <c r="F5" s="6">
        <v>2345</v>
      </c>
      <c r="G5" s="6">
        <v>8910</v>
      </c>
      <c r="H5" s="6">
        <v>4687</v>
      </c>
      <c r="I5" s="6">
        <v>1236</v>
      </c>
      <c r="J5" s="6">
        <v>2345</v>
      </c>
      <c r="K5" s="6">
        <v>8910</v>
      </c>
      <c r="L5" s="6">
        <v>4687</v>
      </c>
      <c r="M5" s="6">
        <v>1236</v>
      </c>
      <c r="N5" s="6">
        <f t="shared" si="0"/>
        <v>51534</v>
      </c>
    </row>
    <row r="6" spans="1:14" ht="19.5" customHeight="1">
      <c r="A6" s="3" t="s">
        <v>3</v>
      </c>
      <c r="B6" s="5">
        <v>3456</v>
      </c>
      <c r="C6" s="5">
        <v>8809</v>
      </c>
      <c r="D6" s="5">
        <v>5686</v>
      </c>
      <c r="E6" s="5">
        <v>6548</v>
      </c>
      <c r="F6" s="5">
        <v>3456</v>
      </c>
      <c r="G6" s="5">
        <v>8809</v>
      </c>
      <c r="H6" s="5">
        <v>5686</v>
      </c>
      <c r="I6" s="5">
        <v>6548</v>
      </c>
      <c r="J6" s="5">
        <v>3456</v>
      </c>
      <c r="K6" s="5">
        <v>8809</v>
      </c>
      <c r="L6" s="5">
        <v>5686</v>
      </c>
      <c r="M6" s="5">
        <v>6548</v>
      </c>
      <c r="N6" s="5">
        <f t="shared" si="0"/>
        <v>73497</v>
      </c>
    </row>
    <row r="7" spans="1:14" ht="19.5" customHeight="1">
      <c r="A7" s="4" t="s">
        <v>4</v>
      </c>
      <c r="B7" s="6">
        <v>4567</v>
      </c>
      <c r="C7" s="6">
        <v>8708</v>
      </c>
      <c r="D7" s="6">
        <v>6685</v>
      </c>
      <c r="E7" s="6">
        <v>1664</v>
      </c>
      <c r="F7" s="6">
        <v>4567</v>
      </c>
      <c r="G7" s="6">
        <v>8708</v>
      </c>
      <c r="H7" s="6">
        <v>6685</v>
      </c>
      <c r="I7" s="6">
        <v>1664</v>
      </c>
      <c r="J7" s="6">
        <v>4567</v>
      </c>
      <c r="K7" s="6">
        <v>8708</v>
      </c>
      <c r="L7" s="6">
        <v>6685</v>
      </c>
      <c r="M7" s="6">
        <v>1664</v>
      </c>
      <c r="N7" s="6">
        <f t="shared" si="0"/>
        <v>64872</v>
      </c>
    </row>
    <row r="8" spans="1:14" ht="19.5" customHeight="1">
      <c r="A8" s="3" t="s">
        <v>5</v>
      </c>
      <c r="B8" s="5">
        <v>5678</v>
      </c>
      <c r="C8" s="5">
        <v>8607</v>
      </c>
      <c r="D8" s="5">
        <v>7684</v>
      </c>
      <c r="E8" s="5">
        <v>1321</v>
      </c>
      <c r="F8" s="5">
        <v>5678</v>
      </c>
      <c r="G8" s="5">
        <v>8607</v>
      </c>
      <c r="H8" s="5">
        <v>7684</v>
      </c>
      <c r="I8" s="5">
        <v>1321</v>
      </c>
      <c r="J8" s="5">
        <v>5678</v>
      </c>
      <c r="K8" s="5">
        <v>8607</v>
      </c>
      <c r="L8" s="5">
        <v>7684</v>
      </c>
      <c r="M8" s="5">
        <v>1321</v>
      </c>
      <c r="N8" s="5">
        <f t="shared" si="0"/>
        <v>69870</v>
      </c>
    </row>
    <row r="9" spans="1:14" ht="19.5" customHeight="1">
      <c r="A9" s="4" t="s">
        <v>6</v>
      </c>
      <c r="B9" s="6">
        <v>6789</v>
      </c>
      <c r="C9" s="6">
        <v>8506</v>
      </c>
      <c r="D9" s="6">
        <v>8683</v>
      </c>
      <c r="E9" s="6">
        <v>8979</v>
      </c>
      <c r="F9" s="6">
        <v>6789</v>
      </c>
      <c r="G9" s="6">
        <v>8506</v>
      </c>
      <c r="H9" s="6">
        <v>8683</v>
      </c>
      <c r="I9" s="6">
        <v>8979</v>
      </c>
      <c r="J9" s="6">
        <v>6789</v>
      </c>
      <c r="K9" s="6">
        <v>8506</v>
      </c>
      <c r="L9" s="6">
        <v>8683</v>
      </c>
      <c r="M9" s="6">
        <v>8979</v>
      </c>
      <c r="N9" s="6">
        <f t="shared" si="0"/>
        <v>98871</v>
      </c>
    </row>
    <row r="10" spans="1:14" ht="19.5" customHeight="1">
      <c r="A10" s="3" t="s">
        <v>7</v>
      </c>
      <c r="B10" s="5">
        <v>7900</v>
      </c>
      <c r="C10" s="5">
        <v>8405</v>
      </c>
      <c r="D10" s="5">
        <v>9682</v>
      </c>
      <c r="E10" s="5">
        <v>5469</v>
      </c>
      <c r="F10" s="5">
        <v>7900</v>
      </c>
      <c r="G10" s="5">
        <v>8405</v>
      </c>
      <c r="H10" s="5">
        <v>9682</v>
      </c>
      <c r="I10" s="5">
        <v>5469</v>
      </c>
      <c r="J10" s="5">
        <v>7900</v>
      </c>
      <c r="K10" s="5">
        <v>8405</v>
      </c>
      <c r="L10" s="5">
        <v>9682</v>
      </c>
      <c r="M10" s="5">
        <v>5469</v>
      </c>
      <c r="N10" s="5">
        <f t="shared" si="0"/>
        <v>94368</v>
      </c>
    </row>
    <row r="11" spans="1:14" ht="19.5" customHeight="1">
      <c r="A11" s="4" t="s">
        <v>8</v>
      </c>
      <c r="B11" s="6">
        <v>9011</v>
      </c>
      <c r="C11" s="6">
        <v>8304</v>
      </c>
      <c r="D11" s="6">
        <v>10681</v>
      </c>
      <c r="E11" s="6">
        <v>5466</v>
      </c>
      <c r="F11" s="6">
        <v>9011</v>
      </c>
      <c r="G11" s="6">
        <v>8304</v>
      </c>
      <c r="H11" s="6">
        <v>10681</v>
      </c>
      <c r="I11" s="6">
        <v>5466</v>
      </c>
      <c r="J11" s="6">
        <v>9011</v>
      </c>
      <c r="K11" s="6">
        <v>8304</v>
      </c>
      <c r="L11" s="6">
        <v>10681</v>
      </c>
      <c r="M11" s="6">
        <v>5466</v>
      </c>
      <c r="N11" s="6">
        <f t="shared" si="0"/>
        <v>100386</v>
      </c>
    </row>
    <row r="12" spans="1:14" ht="28.5" customHeight="1">
      <c r="A12" s="3" t="s">
        <v>21</v>
      </c>
      <c r="B12" s="7">
        <f t="shared" ref="B12:M12" si="1">SUM(B4:B11)</f>
        <v>40980</v>
      </c>
      <c r="C12" s="7">
        <f t="shared" si="1"/>
        <v>69260</v>
      </c>
      <c r="D12" s="7">
        <f t="shared" si="1"/>
        <v>58456</v>
      </c>
      <c r="E12" s="7">
        <f t="shared" si="1"/>
        <v>35341</v>
      </c>
      <c r="F12" s="7">
        <f t="shared" si="1"/>
        <v>40980</v>
      </c>
      <c r="G12" s="7">
        <f t="shared" si="1"/>
        <v>69260</v>
      </c>
      <c r="H12" s="7">
        <f t="shared" si="1"/>
        <v>58456</v>
      </c>
      <c r="I12" s="7">
        <f t="shared" si="1"/>
        <v>35341</v>
      </c>
      <c r="J12" s="7">
        <f t="shared" si="1"/>
        <v>40980</v>
      </c>
      <c r="K12" s="7">
        <f t="shared" si="1"/>
        <v>69260</v>
      </c>
      <c r="L12" s="7">
        <f t="shared" si="1"/>
        <v>58456</v>
      </c>
      <c r="M12" s="7">
        <f t="shared" si="1"/>
        <v>35341</v>
      </c>
      <c r="N12" s="7">
        <f t="shared" si="0"/>
        <v>612111</v>
      </c>
    </row>
  </sheetData>
  <mergeCells count="4">
    <mergeCell ref="B1:N1"/>
    <mergeCell ref="A1:A2"/>
    <mergeCell ref="B2:G2"/>
    <mergeCell ref="H2:N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N12"/>
  <sheetViews>
    <sheetView workbookViewId="0">
      <selection activeCell="A14" sqref="A14"/>
    </sheetView>
  </sheetViews>
  <sheetFormatPr defaultRowHeight="15"/>
  <cols>
    <col min="1" max="1" width="17" customWidth="1"/>
    <col min="2" max="13" width="11.5703125" customWidth="1"/>
    <col min="14" max="14" width="13" customWidth="1"/>
  </cols>
  <sheetData>
    <row r="1" spans="1:14" ht="33" customHeight="1" thickBot="1">
      <c r="A1" s="9"/>
      <c r="B1" s="8" t="s">
        <v>22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3" customHeight="1" thickTop="1">
      <c r="A2" s="10"/>
      <c r="B2" s="11" t="s">
        <v>24</v>
      </c>
      <c r="C2" s="11"/>
      <c r="D2" s="11"/>
      <c r="E2" s="11"/>
      <c r="F2" s="11"/>
      <c r="G2" s="11"/>
      <c r="H2" s="11" t="s">
        <v>25</v>
      </c>
      <c r="I2" s="11"/>
      <c r="J2" s="11"/>
      <c r="K2" s="11"/>
      <c r="L2" s="11"/>
      <c r="M2" s="11"/>
      <c r="N2" s="11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5">
        <v>4658</v>
      </c>
      <c r="C4" s="5">
        <v>1234</v>
      </c>
      <c r="D4" s="5">
        <v>9011</v>
      </c>
      <c r="E4" s="5">
        <v>4668</v>
      </c>
      <c r="F4" s="5">
        <v>4658</v>
      </c>
      <c r="G4" s="5">
        <v>9011</v>
      </c>
      <c r="H4" s="5">
        <v>4668</v>
      </c>
      <c r="I4" s="5">
        <v>4658</v>
      </c>
      <c r="J4" s="5">
        <v>1234</v>
      </c>
      <c r="K4" s="5">
        <v>9011</v>
      </c>
      <c r="L4" s="5">
        <v>4668</v>
      </c>
      <c r="M4" s="5">
        <v>4658</v>
      </c>
      <c r="N4" s="5">
        <f t="shared" ref="N4:N12" si="0">SUM(B4:M4)</f>
        <v>62137</v>
      </c>
    </row>
    <row r="5" spans="1:14" ht="19.5" customHeight="1">
      <c r="A5" s="4" t="s">
        <v>2</v>
      </c>
      <c r="B5" s="6">
        <v>1236</v>
      </c>
      <c r="C5" s="6">
        <v>2345</v>
      </c>
      <c r="D5" s="6">
        <v>8910</v>
      </c>
      <c r="E5" s="6">
        <v>4687</v>
      </c>
      <c r="F5" s="6">
        <v>1236</v>
      </c>
      <c r="G5" s="6">
        <v>8910</v>
      </c>
      <c r="H5" s="6">
        <v>4687</v>
      </c>
      <c r="I5" s="6">
        <v>1236</v>
      </c>
      <c r="J5" s="6">
        <v>2345</v>
      </c>
      <c r="K5" s="6">
        <v>8910</v>
      </c>
      <c r="L5" s="6">
        <v>4687</v>
      </c>
      <c r="M5" s="6">
        <v>1236</v>
      </c>
      <c r="N5" s="6">
        <f t="shared" si="0"/>
        <v>50425</v>
      </c>
    </row>
    <row r="6" spans="1:14" ht="19.5" customHeight="1">
      <c r="A6" s="3" t="s">
        <v>3</v>
      </c>
      <c r="B6" s="5">
        <v>6548</v>
      </c>
      <c r="C6" s="5">
        <v>3456</v>
      </c>
      <c r="D6" s="5">
        <v>8809</v>
      </c>
      <c r="E6" s="5">
        <v>5686</v>
      </c>
      <c r="F6" s="5">
        <v>6548</v>
      </c>
      <c r="G6" s="5">
        <v>8809</v>
      </c>
      <c r="H6" s="5">
        <v>5686</v>
      </c>
      <c r="I6" s="5">
        <v>6548</v>
      </c>
      <c r="J6" s="5">
        <v>3456</v>
      </c>
      <c r="K6" s="5">
        <v>8809</v>
      </c>
      <c r="L6" s="5">
        <v>5686</v>
      </c>
      <c r="M6" s="5">
        <v>6548</v>
      </c>
      <c r="N6" s="5">
        <f t="shared" si="0"/>
        <v>76589</v>
      </c>
    </row>
    <row r="7" spans="1:14" ht="19.5" customHeight="1">
      <c r="A7" s="4" t="s">
        <v>4</v>
      </c>
      <c r="B7" s="6">
        <v>1664</v>
      </c>
      <c r="C7" s="6">
        <v>4567</v>
      </c>
      <c r="D7" s="6">
        <v>8708</v>
      </c>
      <c r="E7" s="6">
        <v>6685</v>
      </c>
      <c r="F7" s="6">
        <v>1664</v>
      </c>
      <c r="G7" s="6">
        <v>8708</v>
      </c>
      <c r="H7" s="6">
        <v>6685</v>
      </c>
      <c r="I7" s="6">
        <v>1664</v>
      </c>
      <c r="J7" s="6">
        <v>4567</v>
      </c>
      <c r="K7" s="6">
        <v>8708</v>
      </c>
      <c r="L7" s="6">
        <v>6685</v>
      </c>
      <c r="M7" s="6">
        <v>1664</v>
      </c>
      <c r="N7" s="6">
        <f t="shared" si="0"/>
        <v>61969</v>
      </c>
    </row>
    <row r="8" spans="1:14" ht="19.5" customHeight="1">
      <c r="A8" s="3" t="s">
        <v>5</v>
      </c>
      <c r="B8" s="5">
        <v>1321</v>
      </c>
      <c r="C8" s="5">
        <v>5678</v>
      </c>
      <c r="D8" s="5">
        <v>8607</v>
      </c>
      <c r="E8" s="5">
        <v>7684</v>
      </c>
      <c r="F8" s="5">
        <v>1321</v>
      </c>
      <c r="G8" s="5">
        <v>8607</v>
      </c>
      <c r="H8" s="5">
        <v>7684</v>
      </c>
      <c r="I8" s="5">
        <v>1321</v>
      </c>
      <c r="J8" s="5">
        <v>5678</v>
      </c>
      <c r="K8" s="5">
        <v>8607</v>
      </c>
      <c r="L8" s="5">
        <v>7684</v>
      </c>
      <c r="M8" s="5">
        <v>1321</v>
      </c>
      <c r="N8" s="5">
        <f t="shared" si="0"/>
        <v>65513</v>
      </c>
    </row>
    <row r="9" spans="1:14" ht="19.5" customHeight="1">
      <c r="A9" s="4" t="s">
        <v>6</v>
      </c>
      <c r="B9" s="6">
        <v>8979</v>
      </c>
      <c r="C9" s="6">
        <v>6789</v>
      </c>
      <c r="D9" s="6">
        <v>8506</v>
      </c>
      <c r="E9" s="6">
        <v>8683</v>
      </c>
      <c r="F9" s="6">
        <v>8979</v>
      </c>
      <c r="G9" s="6">
        <v>8506</v>
      </c>
      <c r="H9" s="6">
        <v>8683</v>
      </c>
      <c r="I9" s="6">
        <v>8979</v>
      </c>
      <c r="J9" s="6">
        <v>6789</v>
      </c>
      <c r="K9" s="6">
        <v>8506</v>
      </c>
      <c r="L9" s="6">
        <v>8683</v>
      </c>
      <c r="M9" s="6">
        <v>8979</v>
      </c>
      <c r="N9" s="6">
        <f t="shared" si="0"/>
        <v>101061</v>
      </c>
    </row>
    <row r="10" spans="1:14" ht="19.5" customHeight="1">
      <c r="A10" s="3" t="s">
        <v>7</v>
      </c>
      <c r="B10" s="5">
        <v>5469</v>
      </c>
      <c r="C10" s="5">
        <v>7900</v>
      </c>
      <c r="D10" s="5">
        <v>8405</v>
      </c>
      <c r="E10" s="5">
        <v>9682</v>
      </c>
      <c r="F10" s="5">
        <v>5469</v>
      </c>
      <c r="G10" s="5">
        <v>8405</v>
      </c>
      <c r="H10" s="5">
        <v>9682</v>
      </c>
      <c r="I10" s="5">
        <v>5469</v>
      </c>
      <c r="J10" s="5">
        <v>7900</v>
      </c>
      <c r="K10" s="5">
        <v>8405</v>
      </c>
      <c r="L10" s="5">
        <v>9682</v>
      </c>
      <c r="M10" s="5">
        <v>5469</v>
      </c>
      <c r="N10" s="5">
        <f t="shared" si="0"/>
        <v>91937</v>
      </c>
    </row>
    <row r="11" spans="1:14" ht="19.5" customHeight="1">
      <c r="A11" s="4" t="s">
        <v>8</v>
      </c>
      <c r="B11" s="6">
        <v>5466</v>
      </c>
      <c r="C11" s="6">
        <v>9011</v>
      </c>
      <c r="D11" s="6">
        <v>8304</v>
      </c>
      <c r="E11" s="6">
        <v>10681</v>
      </c>
      <c r="F11" s="6">
        <v>5466</v>
      </c>
      <c r="G11" s="6">
        <v>8304</v>
      </c>
      <c r="H11" s="6">
        <v>10681</v>
      </c>
      <c r="I11" s="6">
        <v>5466</v>
      </c>
      <c r="J11" s="6">
        <v>9011</v>
      </c>
      <c r="K11" s="6">
        <v>8304</v>
      </c>
      <c r="L11" s="6">
        <v>10681</v>
      </c>
      <c r="M11" s="6">
        <v>5466</v>
      </c>
      <c r="N11" s="6">
        <f t="shared" si="0"/>
        <v>96841</v>
      </c>
    </row>
    <row r="12" spans="1:14" ht="28.5" customHeight="1">
      <c r="A12" s="3" t="s">
        <v>21</v>
      </c>
      <c r="B12" s="7">
        <f t="shared" ref="B12:M12" si="1">SUM(B4:B11)</f>
        <v>35341</v>
      </c>
      <c r="C12" s="7">
        <f t="shared" si="1"/>
        <v>40980</v>
      </c>
      <c r="D12" s="7">
        <f t="shared" si="1"/>
        <v>69260</v>
      </c>
      <c r="E12" s="7">
        <f t="shared" si="1"/>
        <v>58456</v>
      </c>
      <c r="F12" s="7">
        <f t="shared" si="1"/>
        <v>35341</v>
      </c>
      <c r="G12" s="7">
        <f t="shared" si="1"/>
        <v>69260</v>
      </c>
      <c r="H12" s="7">
        <f t="shared" si="1"/>
        <v>58456</v>
      </c>
      <c r="I12" s="7">
        <f t="shared" si="1"/>
        <v>35341</v>
      </c>
      <c r="J12" s="7">
        <f t="shared" si="1"/>
        <v>40980</v>
      </c>
      <c r="K12" s="7">
        <f t="shared" si="1"/>
        <v>69260</v>
      </c>
      <c r="L12" s="7">
        <f t="shared" si="1"/>
        <v>58456</v>
      </c>
      <c r="M12" s="7">
        <f t="shared" si="1"/>
        <v>35341</v>
      </c>
      <c r="N12" s="12">
        <f t="shared" si="0"/>
        <v>606472</v>
      </c>
    </row>
  </sheetData>
  <mergeCells count="4">
    <mergeCell ref="A1:A2"/>
    <mergeCell ref="B1:N1"/>
    <mergeCell ref="B2:G2"/>
    <mergeCell ref="H2:N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N12"/>
  <sheetViews>
    <sheetView workbookViewId="0">
      <selection activeCell="A14" sqref="A14"/>
    </sheetView>
  </sheetViews>
  <sheetFormatPr defaultRowHeight="15"/>
  <cols>
    <col min="1" max="1" width="17" customWidth="1"/>
    <col min="2" max="13" width="11.5703125" customWidth="1"/>
    <col min="14" max="14" width="13" customWidth="1"/>
  </cols>
  <sheetData>
    <row r="1" spans="1:14" ht="33" customHeight="1" thickBot="1">
      <c r="A1" s="9"/>
      <c r="B1" s="8" t="s">
        <v>22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3" customHeight="1" thickTop="1">
      <c r="A2" s="10"/>
      <c r="B2" s="11" t="s">
        <v>24</v>
      </c>
      <c r="C2" s="11"/>
      <c r="D2" s="11"/>
      <c r="E2" s="11"/>
      <c r="F2" s="11"/>
      <c r="G2" s="11"/>
      <c r="H2" s="11" t="s">
        <v>26</v>
      </c>
      <c r="I2" s="11"/>
      <c r="J2" s="11"/>
      <c r="K2" s="11"/>
      <c r="L2" s="11"/>
      <c r="M2" s="11"/>
      <c r="N2" s="11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5">
        <v>1234</v>
      </c>
      <c r="C4" s="5">
        <v>9011</v>
      </c>
      <c r="D4" s="5">
        <v>4668</v>
      </c>
      <c r="E4" s="5">
        <v>4658</v>
      </c>
      <c r="F4" s="5">
        <v>1234</v>
      </c>
      <c r="G4" s="5">
        <v>9011</v>
      </c>
      <c r="H4" s="5">
        <v>4668</v>
      </c>
      <c r="I4" s="5">
        <v>4658</v>
      </c>
      <c r="J4" s="5">
        <v>1234</v>
      </c>
      <c r="K4" s="5">
        <v>9011</v>
      </c>
      <c r="L4" s="5">
        <v>4668</v>
      </c>
      <c r="M4" s="5">
        <v>4658</v>
      </c>
      <c r="N4" s="5">
        <f t="shared" ref="N4:N12" si="0">SUM(B4:M4)</f>
        <v>58713</v>
      </c>
    </row>
    <row r="5" spans="1:14" ht="19.5" customHeight="1">
      <c r="A5" s="4" t="s">
        <v>2</v>
      </c>
      <c r="B5" s="6">
        <v>2345</v>
      </c>
      <c r="C5" s="6">
        <v>8910</v>
      </c>
      <c r="D5" s="6">
        <v>4687</v>
      </c>
      <c r="E5" s="6">
        <v>1236</v>
      </c>
      <c r="F5" s="6">
        <v>2345</v>
      </c>
      <c r="G5" s="6">
        <v>8910</v>
      </c>
      <c r="H5" s="6">
        <v>4687</v>
      </c>
      <c r="I5" s="6">
        <v>1236</v>
      </c>
      <c r="J5" s="6">
        <v>2345</v>
      </c>
      <c r="K5" s="6">
        <v>8910</v>
      </c>
      <c r="L5" s="6">
        <v>4687</v>
      </c>
      <c r="M5" s="6">
        <v>1236</v>
      </c>
      <c r="N5" s="6">
        <f t="shared" si="0"/>
        <v>51534</v>
      </c>
    </row>
    <row r="6" spans="1:14" ht="19.5" customHeight="1">
      <c r="A6" s="3" t="s">
        <v>3</v>
      </c>
      <c r="B6" s="5">
        <v>3456</v>
      </c>
      <c r="C6" s="5">
        <v>8809</v>
      </c>
      <c r="D6" s="5">
        <v>5686</v>
      </c>
      <c r="E6" s="5">
        <v>6548</v>
      </c>
      <c r="F6" s="5">
        <v>3456</v>
      </c>
      <c r="G6" s="5">
        <v>8809</v>
      </c>
      <c r="H6" s="5">
        <v>5686</v>
      </c>
      <c r="I6" s="5">
        <v>6548</v>
      </c>
      <c r="J6" s="5">
        <v>3456</v>
      </c>
      <c r="K6" s="5">
        <v>8809</v>
      </c>
      <c r="L6" s="5">
        <v>5686</v>
      </c>
      <c r="M6" s="5">
        <v>6548</v>
      </c>
      <c r="N6" s="5">
        <f t="shared" si="0"/>
        <v>73497</v>
      </c>
    </row>
    <row r="7" spans="1:14" ht="19.5" customHeight="1">
      <c r="A7" s="4" t="s">
        <v>4</v>
      </c>
      <c r="B7" s="6">
        <v>4567</v>
      </c>
      <c r="C7" s="6">
        <v>8708</v>
      </c>
      <c r="D7" s="6">
        <v>6685</v>
      </c>
      <c r="E7" s="6">
        <v>1664</v>
      </c>
      <c r="F7" s="6">
        <v>4567</v>
      </c>
      <c r="G7" s="6">
        <v>8708</v>
      </c>
      <c r="H7" s="6">
        <v>6685</v>
      </c>
      <c r="I7" s="6">
        <v>1664</v>
      </c>
      <c r="J7" s="6">
        <v>4567</v>
      </c>
      <c r="K7" s="6">
        <v>8708</v>
      </c>
      <c r="L7" s="6">
        <v>6685</v>
      </c>
      <c r="M7" s="6">
        <v>1664</v>
      </c>
      <c r="N7" s="6">
        <f t="shared" si="0"/>
        <v>64872</v>
      </c>
    </row>
    <row r="8" spans="1:14" ht="19.5" customHeight="1">
      <c r="A8" s="3" t="s">
        <v>5</v>
      </c>
      <c r="B8" s="5">
        <v>5678</v>
      </c>
      <c r="C8" s="5">
        <v>8607</v>
      </c>
      <c r="D8" s="5">
        <v>7684</v>
      </c>
      <c r="E8" s="5">
        <v>1321</v>
      </c>
      <c r="F8" s="5">
        <v>5678</v>
      </c>
      <c r="G8" s="5">
        <v>8607</v>
      </c>
      <c r="H8" s="5">
        <v>7684</v>
      </c>
      <c r="I8" s="5">
        <v>1321</v>
      </c>
      <c r="J8" s="5">
        <v>5678</v>
      </c>
      <c r="K8" s="5">
        <v>8607</v>
      </c>
      <c r="L8" s="5">
        <v>7684</v>
      </c>
      <c r="M8" s="5">
        <v>1321</v>
      </c>
      <c r="N8" s="5">
        <f t="shared" si="0"/>
        <v>69870</v>
      </c>
    </row>
    <row r="9" spans="1:14" ht="19.5" customHeight="1">
      <c r="A9" s="4" t="s">
        <v>6</v>
      </c>
      <c r="B9" s="6">
        <v>6789</v>
      </c>
      <c r="C9" s="6">
        <v>8506</v>
      </c>
      <c r="D9" s="6">
        <v>8683</v>
      </c>
      <c r="E9" s="6">
        <v>8979</v>
      </c>
      <c r="F9" s="6">
        <v>6789</v>
      </c>
      <c r="G9" s="6">
        <v>8506</v>
      </c>
      <c r="H9" s="6">
        <v>8683</v>
      </c>
      <c r="I9" s="6">
        <v>8979</v>
      </c>
      <c r="J9" s="6">
        <v>6789</v>
      </c>
      <c r="K9" s="6">
        <v>8506</v>
      </c>
      <c r="L9" s="6">
        <v>8683</v>
      </c>
      <c r="M9" s="6">
        <v>8979</v>
      </c>
      <c r="N9" s="6">
        <f t="shared" si="0"/>
        <v>98871</v>
      </c>
    </row>
    <row r="10" spans="1:14" ht="19.5" customHeight="1">
      <c r="A10" s="3" t="s">
        <v>7</v>
      </c>
      <c r="B10" s="5">
        <v>7900</v>
      </c>
      <c r="C10" s="5">
        <v>8405</v>
      </c>
      <c r="D10" s="5">
        <v>9682</v>
      </c>
      <c r="E10" s="5">
        <v>5469</v>
      </c>
      <c r="F10" s="5">
        <v>7900</v>
      </c>
      <c r="G10" s="5">
        <v>8405</v>
      </c>
      <c r="H10" s="5">
        <v>9682</v>
      </c>
      <c r="I10" s="5">
        <v>5469</v>
      </c>
      <c r="J10" s="5">
        <v>7900</v>
      </c>
      <c r="K10" s="5">
        <v>8405</v>
      </c>
      <c r="L10" s="5">
        <v>9682</v>
      </c>
      <c r="M10" s="5">
        <v>5469</v>
      </c>
      <c r="N10" s="5">
        <f t="shared" si="0"/>
        <v>94368</v>
      </c>
    </row>
    <row r="11" spans="1:14" ht="19.5" customHeight="1">
      <c r="A11" s="4" t="s">
        <v>8</v>
      </c>
      <c r="B11" s="6">
        <v>9011</v>
      </c>
      <c r="C11" s="6">
        <v>8304</v>
      </c>
      <c r="D11" s="6">
        <v>10681</v>
      </c>
      <c r="E11" s="6">
        <v>5466</v>
      </c>
      <c r="F11" s="6">
        <v>9011</v>
      </c>
      <c r="G11" s="6">
        <v>8304</v>
      </c>
      <c r="H11" s="6">
        <v>10681</v>
      </c>
      <c r="I11" s="6">
        <v>5466</v>
      </c>
      <c r="J11" s="6">
        <v>9011</v>
      </c>
      <c r="K11" s="6">
        <v>8304</v>
      </c>
      <c r="L11" s="6">
        <v>10681</v>
      </c>
      <c r="M11" s="6">
        <v>5466</v>
      </c>
      <c r="N11" s="6">
        <f t="shared" si="0"/>
        <v>100386</v>
      </c>
    </row>
    <row r="12" spans="1:14" ht="28.5" customHeight="1">
      <c r="A12" s="3" t="s">
        <v>21</v>
      </c>
      <c r="B12" s="7">
        <f t="shared" ref="B12:M12" si="1">SUM(B4:B11)</f>
        <v>40980</v>
      </c>
      <c r="C12" s="7">
        <f t="shared" si="1"/>
        <v>69260</v>
      </c>
      <c r="D12" s="7">
        <f t="shared" si="1"/>
        <v>58456</v>
      </c>
      <c r="E12" s="7">
        <f t="shared" si="1"/>
        <v>35341</v>
      </c>
      <c r="F12" s="7">
        <f t="shared" si="1"/>
        <v>40980</v>
      </c>
      <c r="G12" s="7">
        <f t="shared" si="1"/>
        <v>69260</v>
      </c>
      <c r="H12" s="7">
        <f t="shared" si="1"/>
        <v>58456</v>
      </c>
      <c r="I12" s="7">
        <f t="shared" si="1"/>
        <v>35341</v>
      </c>
      <c r="J12" s="7">
        <f t="shared" si="1"/>
        <v>40980</v>
      </c>
      <c r="K12" s="7">
        <f t="shared" si="1"/>
        <v>69260</v>
      </c>
      <c r="L12" s="7">
        <f t="shared" si="1"/>
        <v>58456</v>
      </c>
      <c r="M12" s="7">
        <f t="shared" si="1"/>
        <v>35341</v>
      </c>
      <c r="N12" s="12">
        <f t="shared" si="0"/>
        <v>612111</v>
      </c>
    </row>
  </sheetData>
  <mergeCells count="4">
    <mergeCell ref="A1:A2"/>
    <mergeCell ref="B1:N1"/>
    <mergeCell ref="B2:G2"/>
    <mergeCell ref="H2:N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N12"/>
  <sheetViews>
    <sheetView workbookViewId="0">
      <selection activeCell="A14" sqref="A14"/>
    </sheetView>
  </sheetViews>
  <sheetFormatPr defaultRowHeight="15"/>
  <cols>
    <col min="1" max="1" width="17" customWidth="1"/>
    <col min="2" max="13" width="11.5703125" customWidth="1"/>
    <col min="14" max="14" width="13" customWidth="1"/>
  </cols>
  <sheetData>
    <row r="1" spans="1:14" ht="33" customHeight="1" thickBot="1">
      <c r="A1" s="9"/>
      <c r="B1" s="8" t="s">
        <v>22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3" customHeight="1" thickTop="1">
      <c r="A2" s="10"/>
      <c r="B2" s="11" t="s">
        <v>24</v>
      </c>
      <c r="C2" s="11"/>
      <c r="D2" s="11"/>
      <c r="E2" s="11"/>
      <c r="F2" s="11"/>
      <c r="G2" s="11"/>
      <c r="H2" s="11" t="s">
        <v>27</v>
      </c>
      <c r="I2" s="11"/>
      <c r="J2" s="11"/>
      <c r="K2" s="11"/>
      <c r="L2" s="11"/>
      <c r="M2" s="11"/>
      <c r="N2" s="11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5">
        <v>4668</v>
      </c>
      <c r="C4" s="5">
        <v>1234</v>
      </c>
      <c r="D4" s="5">
        <v>9011</v>
      </c>
      <c r="E4" s="5">
        <v>4668</v>
      </c>
      <c r="F4" s="5">
        <v>4658</v>
      </c>
      <c r="G4" s="5">
        <v>9011</v>
      </c>
      <c r="H4" s="5">
        <v>4668</v>
      </c>
      <c r="I4" s="5">
        <v>4658</v>
      </c>
      <c r="J4" s="5">
        <v>1234</v>
      </c>
      <c r="K4" s="5">
        <v>9011</v>
      </c>
      <c r="L4" s="5">
        <v>4668</v>
      </c>
      <c r="M4" s="5">
        <v>4658</v>
      </c>
      <c r="N4" s="5">
        <f t="shared" ref="N4:N12" si="0">SUM(B4:M4)</f>
        <v>62147</v>
      </c>
    </row>
    <row r="5" spans="1:14" ht="19.5" customHeight="1">
      <c r="A5" s="4" t="s">
        <v>2</v>
      </c>
      <c r="B5" s="6">
        <v>4687</v>
      </c>
      <c r="C5" s="6">
        <v>2345</v>
      </c>
      <c r="D5" s="6">
        <v>8910</v>
      </c>
      <c r="E5" s="6">
        <v>4687</v>
      </c>
      <c r="F5" s="6">
        <v>1236</v>
      </c>
      <c r="G5" s="6">
        <v>8910</v>
      </c>
      <c r="H5" s="6">
        <v>4687</v>
      </c>
      <c r="I5" s="6">
        <v>1236</v>
      </c>
      <c r="J5" s="6">
        <v>2345</v>
      </c>
      <c r="K5" s="6">
        <v>8910</v>
      </c>
      <c r="L5" s="6">
        <v>4687</v>
      </c>
      <c r="M5" s="6">
        <v>1236</v>
      </c>
      <c r="N5" s="6">
        <f t="shared" si="0"/>
        <v>53876</v>
      </c>
    </row>
    <row r="6" spans="1:14" ht="19.5" customHeight="1">
      <c r="A6" s="3" t="s">
        <v>3</v>
      </c>
      <c r="B6" s="5">
        <v>5686</v>
      </c>
      <c r="C6" s="5">
        <v>3456</v>
      </c>
      <c r="D6" s="5">
        <v>8809</v>
      </c>
      <c r="E6" s="5">
        <v>5686</v>
      </c>
      <c r="F6" s="5">
        <v>6548</v>
      </c>
      <c r="G6" s="5">
        <v>8809</v>
      </c>
      <c r="H6" s="5">
        <v>5686</v>
      </c>
      <c r="I6" s="5">
        <v>6548</v>
      </c>
      <c r="J6" s="5">
        <v>3456</v>
      </c>
      <c r="K6" s="5">
        <v>8809</v>
      </c>
      <c r="L6" s="5">
        <v>5686</v>
      </c>
      <c r="M6" s="5">
        <v>6548</v>
      </c>
      <c r="N6" s="5">
        <f t="shared" si="0"/>
        <v>75727</v>
      </c>
    </row>
    <row r="7" spans="1:14" ht="19.5" customHeight="1">
      <c r="A7" s="4" t="s">
        <v>4</v>
      </c>
      <c r="B7" s="6">
        <v>6685</v>
      </c>
      <c r="C7" s="6">
        <v>4567</v>
      </c>
      <c r="D7" s="6">
        <v>8708</v>
      </c>
      <c r="E7" s="6">
        <v>6685</v>
      </c>
      <c r="F7" s="6">
        <v>1664</v>
      </c>
      <c r="G7" s="6">
        <v>8708</v>
      </c>
      <c r="H7" s="6">
        <v>6685</v>
      </c>
      <c r="I7" s="6">
        <v>1664</v>
      </c>
      <c r="J7" s="6">
        <v>4567</v>
      </c>
      <c r="K7" s="6">
        <v>8708</v>
      </c>
      <c r="L7" s="6">
        <v>6685</v>
      </c>
      <c r="M7" s="6">
        <v>1664</v>
      </c>
      <c r="N7" s="6">
        <f t="shared" si="0"/>
        <v>66990</v>
      </c>
    </row>
    <row r="8" spans="1:14" ht="19.5" customHeight="1">
      <c r="A8" s="3" t="s">
        <v>5</v>
      </c>
      <c r="B8" s="5">
        <v>7684</v>
      </c>
      <c r="C8" s="5">
        <v>5678</v>
      </c>
      <c r="D8" s="5">
        <v>8607</v>
      </c>
      <c r="E8" s="5">
        <v>7684</v>
      </c>
      <c r="F8" s="5">
        <v>1321</v>
      </c>
      <c r="G8" s="5">
        <v>8607</v>
      </c>
      <c r="H8" s="5">
        <v>7684</v>
      </c>
      <c r="I8" s="5">
        <v>1321</v>
      </c>
      <c r="J8" s="5">
        <v>5678</v>
      </c>
      <c r="K8" s="5">
        <v>8607</v>
      </c>
      <c r="L8" s="5">
        <v>7684</v>
      </c>
      <c r="M8" s="5">
        <v>1321</v>
      </c>
      <c r="N8" s="5">
        <f t="shared" si="0"/>
        <v>71876</v>
      </c>
    </row>
    <row r="9" spans="1:14" ht="19.5" customHeight="1">
      <c r="A9" s="4" t="s">
        <v>6</v>
      </c>
      <c r="B9" s="6">
        <v>8683</v>
      </c>
      <c r="C9" s="6">
        <v>6789</v>
      </c>
      <c r="D9" s="6">
        <v>8506</v>
      </c>
      <c r="E9" s="6">
        <v>8683</v>
      </c>
      <c r="F9" s="6">
        <v>8979</v>
      </c>
      <c r="G9" s="6">
        <v>8506</v>
      </c>
      <c r="H9" s="6">
        <v>8683</v>
      </c>
      <c r="I9" s="6">
        <v>8979</v>
      </c>
      <c r="J9" s="6">
        <v>6789</v>
      </c>
      <c r="K9" s="6">
        <v>8506</v>
      </c>
      <c r="L9" s="6">
        <v>8683</v>
      </c>
      <c r="M9" s="6">
        <v>8979</v>
      </c>
      <c r="N9" s="6">
        <f t="shared" si="0"/>
        <v>100765</v>
      </c>
    </row>
    <row r="10" spans="1:14" ht="19.5" customHeight="1">
      <c r="A10" s="3" t="s">
        <v>7</v>
      </c>
      <c r="B10" s="5">
        <v>9682</v>
      </c>
      <c r="C10" s="5">
        <v>7900</v>
      </c>
      <c r="D10" s="5">
        <v>8405</v>
      </c>
      <c r="E10" s="5">
        <v>9682</v>
      </c>
      <c r="F10" s="5">
        <v>5469</v>
      </c>
      <c r="G10" s="5">
        <v>8405</v>
      </c>
      <c r="H10" s="5">
        <v>9682</v>
      </c>
      <c r="I10" s="5">
        <v>5469</v>
      </c>
      <c r="J10" s="5">
        <v>7900</v>
      </c>
      <c r="K10" s="5">
        <v>8405</v>
      </c>
      <c r="L10" s="5">
        <v>9682</v>
      </c>
      <c r="M10" s="5">
        <v>5469</v>
      </c>
      <c r="N10" s="5">
        <f t="shared" si="0"/>
        <v>96150</v>
      </c>
    </row>
    <row r="11" spans="1:14" ht="19.5" customHeight="1">
      <c r="A11" s="4" t="s">
        <v>8</v>
      </c>
      <c r="B11" s="6">
        <v>10681</v>
      </c>
      <c r="C11" s="6">
        <v>9011</v>
      </c>
      <c r="D11" s="6">
        <v>8304</v>
      </c>
      <c r="E11" s="6">
        <v>10681</v>
      </c>
      <c r="F11" s="6">
        <v>5466</v>
      </c>
      <c r="G11" s="6">
        <v>8304</v>
      </c>
      <c r="H11" s="6">
        <v>10681</v>
      </c>
      <c r="I11" s="6">
        <v>5466</v>
      </c>
      <c r="J11" s="6">
        <v>9011</v>
      </c>
      <c r="K11" s="6">
        <v>8304</v>
      </c>
      <c r="L11" s="6">
        <v>10681</v>
      </c>
      <c r="M11" s="6">
        <v>5466</v>
      </c>
      <c r="N11" s="6">
        <f t="shared" si="0"/>
        <v>102056</v>
      </c>
    </row>
    <row r="12" spans="1:14" ht="28.5" customHeight="1">
      <c r="A12" s="3" t="s">
        <v>21</v>
      </c>
      <c r="B12" s="7">
        <f t="shared" ref="B12:M12" si="1">SUM(B4:B11)</f>
        <v>58456</v>
      </c>
      <c r="C12" s="7">
        <f t="shared" si="1"/>
        <v>40980</v>
      </c>
      <c r="D12" s="7">
        <f t="shared" si="1"/>
        <v>69260</v>
      </c>
      <c r="E12" s="7">
        <f t="shared" si="1"/>
        <v>58456</v>
      </c>
      <c r="F12" s="7">
        <f t="shared" si="1"/>
        <v>35341</v>
      </c>
      <c r="G12" s="7">
        <f t="shared" si="1"/>
        <v>69260</v>
      </c>
      <c r="H12" s="7">
        <f t="shared" si="1"/>
        <v>58456</v>
      </c>
      <c r="I12" s="7">
        <f t="shared" si="1"/>
        <v>35341</v>
      </c>
      <c r="J12" s="7">
        <f t="shared" si="1"/>
        <v>40980</v>
      </c>
      <c r="K12" s="7">
        <f t="shared" si="1"/>
        <v>69260</v>
      </c>
      <c r="L12" s="7">
        <f t="shared" si="1"/>
        <v>58456</v>
      </c>
      <c r="M12" s="7">
        <f t="shared" si="1"/>
        <v>35341</v>
      </c>
      <c r="N12" s="12">
        <f t="shared" si="0"/>
        <v>629587</v>
      </c>
    </row>
  </sheetData>
  <mergeCells count="4">
    <mergeCell ref="A1:A2"/>
    <mergeCell ref="B1:N1"/>
    <mergeCell ref="B2:G2"/>
    <mergeCell ref="H2:N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N12"/>
  <sheetViews>
    <sheetView workbookViewId="0">
      <selection activeCell="A14" sqref="A14"/>
    </sheetView>
  </sheetViews>
  <sheetFormatPr defaultRowHeight="15"/>
  <cols>
    <col min="1" max="1" width="17" customWidth="1"/>
    <col min="2" max="13" width="11.5703125" customWidth="1"/>
    <col min="14" max="14" width="13" customWidth="1"/>
  </cols>
  <sheetData>
    <row r="1" spans="1:14" ht="33" customHeight="1" thickBot="1">
      <c r="A1" s="9"/>
      <c r="B1" s="8" t="s">
        <v>22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3" customHeight="1" thickTop="1">
      <c r="A2" s="10"/>
      <c r="B2" s="11" t="s">
        <v>28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5">
        <f t="shared" ref="N4:N12" si="0">SUM(B4:M4)</f>
        <v>0</v>
      </c>
    </row>
    <row r="5" spans="1:14" ht="19.5" customHeight="1">
      <c r="A5" s="4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6">
        <f t="shared" si="0"/>
        <v>0</v>
      </c>
    </row>
    <row r="6" spans="1:14" ht="19.5" customHeight="1">
      <c r="A6" s="3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5">
        <f t="shared" si="0"/>
        <v>0</v>
      </c>
    </row>
    <row r="7" spans="1:14" ht="19.5" customHeight="1">
      <c r="A7" s="4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6">
        <f t="shared" si="0"/>
        <v>0</v>
      </c>
    </row>
    <row r="8" spans="1:14" ht="19.5" customHeight="1">
      <c r="A8" s="3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5">
        <f t="shared" si="0"/>
        <v>0</v>
      </c>
    </row>
    <row r="9" spans="1:14" ht="19.5" customHeight="1">
      <c r="A9" s="4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6">
        <f t="shared" si="0"/>
        <v>0</v>
      </c>
    </row>
    <row r="10" spans="1:14" ht="19.5" customHeight="1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5">
        <f t="shared" si="0"/>
        <v>0</v>
      </c>
    </row>
    <row r="11" spans="1:14" ht="19.5" customHeight="1">
      <c r="A11" s="4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6">
        <f t="shared" si="0"/>
        <v>0</v>
      </c>
    </row>
    <row r="12" spans="1:14" ht="28.5" customHeight="1">
      <c r="A12" s="3" t="s">
        <v>21</v>
      </c>
      <c r="B12" s="13">
        <f t="shared" ref="B12:M12" si="1">SUM(B4:B11)</f>
        <v>0</v>
      </c>
      <c r="C12" s="13">
        <f t="shared" si="1"/>
        <v>0</v>
      </c>
      <c r="D12" s="13">
        <f t="shared" si="1"/>
        <v>0</v>
      </c>
      <c r="E12" s="13">
        <f t="shared" si="1"/>
        <v>0</v>
      </c>
      <c r="F12" s="13">
        <f t="shared" si="1"/>
        <v>0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0</v>
      </c>
      <c r="N12" s="14">
        <f t="shared" si="0"/>
        <v>0</v>
      </c>
    </row>
  </sheetData>
  <mergeCells count="3">
    <mergeCell ref="A1:A2"/>
    <mergeCell ref="B1:N1"/>
    <mergeCell ref="B2:N2"/>
  </mergeCells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Buxoro</vt:lpstr>
      <vt:lpstr>Navoiy</vt:lpstr>
      <vt:lpstr>Samarqand</vt:lpstr>
      <vt:lpstr>Andijon</vt:lpstr>
      <vt:lpstr>Umimiy natija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2015-06-01T07:11:21Z</dcterms:modified>
</cp:coreProperties>
</file>