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2015-yilgi" sheetId="1" r:id="rId1"/>
    <sheet name="Diagramma" sheetId="2" r:id="rId2"/>
  </sheets>
  <calcPr calcId="124519"/>
</workbook>
</file>

<file path=xl/calcChain.xml><?xml version="1.0" encoding="utf-8"?>
<calcChain xmlns="http://schemas.openxmlformats.org/spreadsheetml/2006/main">
  <c r="L18" i="2"/>
</calcChain>
</file>

<file path=xl/sharedStrings.xml><?xml version="1.0" encoding="utf-8"?>
<sst xmlns="http://schemas.openxmlformats.org/spreadsheetml/2006/main" count="87" uniqueCount="40">
  <si>
    <t>60" x 40"</t>
  </si>
  <si>
    <t>20" x 18"</t>
  </si>
  <si>
    <t>12" x 12"</t>
  </si>
  <si>
    <t>Mahsulot kategoriyasi</t>
  </si>
  <si>
    <t>Mahsulotlar</t>
  </si>
  <si>
    <t>Narxi</t>
  </si>
  <si>
    <t>Sotildi</t>
  </si>
  <si>
    <t>Omborda</t>
  </si>
  <si>
    <t>Foyda</t>
  </si>
  <si>
    <t>Mahsulot sotish bo'limlar</t>
  </si>
  <si>
    <t>T/R</t>
  </si>
  <si>
    <t>Metal</t>
  </si>
  <si>
    <t>Suyuqlik</t>
  </si>
  <si>
    <t>Gaz</t>
  </si>
  <si>
    <t>Metan</t>
  </si>
  <si>
    <t>Propan</t>
  </si>
  <si>
    <t>Butan</t>
  </si>
  <si>
    <t>Yog'och</t>
  </si>
  <si>
    <t>Qora qarag'ay</t>
  </si>
  <si>
    <t>Terak</t>
  </si>
  <si>
    <t>Tol</t>
  </si>
  <si>
    <t>Archa</t>
  </si>
  <si>
    <t>Qog'oz</t>
  </si>
  <si>
    <t>Yoqilg'i</t>
  </si>
  <si>
    <t>Neft</t>
  </si>
  <si>
    <t>Benzin</t>
  </si>
  <si>
    <t>Temir</t>
  </si>
  <si>
    <t>Mis</t>
  </si>
  <si>
    <t>Qo'rg'oshin</t>
  </si>
  <si>
    <t>Po'lat</t>
  </si>
  <si>
    <t>Plastik</t>
  </si>
  <si>
    <t>Turbo</t>
  </si>
  <si>
    <t>Moddalar</t>
  </si>
  <si>
    <t>Og'ir metallurgiya</t>
  </si>
  <si>
    <t>Plastmassa</t>
  </si>
  <si>
    <t>Yog'ochsozlik</t>
  </si>
  <si>
    <t>Elektrodlar soni</t>
  </si>
  <si>
    <t>jami</t>
  </si>
  <si>
    <t>Mahsulot nomi</t>
  </si>
  <si>
    <t xml:space="preserve"> Olingan foyda</t>
  </si>
</sst>
</file>

<file path=xl/styles.xml><?xml version="1.0" encoding="utf-8"?>
<styleSheet xmlns="http://schemas.openxmlformats.org/spreadsheetml/2006/main">
  <numFmts count="2">
    <numFmt numFmtId="164" formatCode="_([$$-409]* #,##0.00_);_([$$-409]* \(#,##0.00\);_([$$-409]* &quot;-&quot;??_);_(@_)"/>
    <numFmt numFmtId="165" formatCode="_(* #,##0.00_);_(* \(#,##0.00\);_(* &quot;-&quot;??_);_(@_)"/>
  </numFmts>
  <fonts count="6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4" borderId="0" applyNumberFormat="0" applyBorder="0" applyAlignment="0" applyProtection="0"/>
    <xf numFmtId="164" fontId="1" fillId="0" borderId="0" applyFont="0" applyFill="0" applyBorder="0" applyAlignment="0" applyProtection="0"/>
    <xf numFmtId="0" fontId="3" fillId="2" borderId="1" applyNumberFormat="0" applyAlignment="0" applyProtection="0"/>
    <xf numFmtId="165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27">
    <xf numFmtId="0" fontId="0" fillId="0" borderId="0" xfId="0"/>
    <xf numFmtId="0" fontId="0" fillId="6" borderId="5" xfId="0" applyFont="1" applyFill="1" applyBorder="1" applyAlignment="1">
      <alignment horizontal="right" vertical="center"/>
    </xf>
    <xf numFmtId="0" fontId="0" fillId="0" borderId="5" xfId="0" applyFont="1" applyFill="1" applyBorder="1" applyAlignment="1">
      <alignment horizontal="right" vertical="center"/>
    </xf>
    <xf numFmtId="2" fontId="0" fillId="6" borderId="5" xfId="0" applyNumberFormat="1" applyFont="1" applyFill="1" applyBorder="1" applyAlignment="1">
      <alignment horizontal="right" vertical="center"/>
    </xf>
    <xf numFmtId="2" fontId="0" fillId="0" borderId="5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2" fontId="0" fillId="0" borderId="6" xfId="0" applyNumberFormat="1" applyFont="1" applyFill="1" applyBorder="1" applyAlignment="1">
      <alignment horizontal="right" vertical="center"/>
    </xf>
    <xf numFmtId="0" fontId="0" fillId="7" borderId="6" xfId="0" applyFill="1" applyBorder="1" applyAlignment="1">
      <alignment horizontal="right" vertical="center"/>
    </xf>
    <xf numFmtId="2" fontId="0" fillId="7" borderId="6" xfId="0" applyNumberFormat="1" applyFill="1" applyBorder="1"/>
    <xf numFmtId="0" fontId="0" fillId="0" borderId="7" xfId="0" applyBorder="1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right" vertical="center" wrapText="1"/>
    </xf>
    <xf numFmtId="0" fontId="5" fillId="5" borderId="5" xfId="0" applyFont="1" applyFill="1" applyBorder="1" applyAlignment="1">
      <alignment horizontal="right" vertical="center" wrapText="1"/>
    </xf>
    <xf numFmtId="0" fontId="0" fillId="6" borderId="0" xfId="0" applyFont="1" applyFill="1" applyBorder="1" applyAlignment="1">
      <alignment horizontal="center" vertical="center"/>
    </xf>
    <xf numFmtId="2" fontId="0" fillId="6" borderId="0" xfId="0" applyNumberFormat="1" applyFont="1" applyFill="1" applyBorder="1" applyAlignment="1">
      <alignment horizontal="right" vertical="center"/>
    </xf>
    <xf numFmtId="0" fontId="0" fillId="6" borderId="0" xfId="0" applyFont="1" applyFill="1" applyBorder="1" applyAlignment="1">
      <alignment horizontal="right" vertical="center"/>
    </xf>
  </cellXfs>
  <cellStyles count="7">
    <cellStyle name="40% - Accent1 2" xfId="6"/>
    <cellStyle name="60% - Accent4 2" xfId="2"/>
    <cellStyle name="Check Cell 2" xfId="4"/>
    <cellStyle name="Comma 2" xfId="5"/>
    <cellStyle name="Currency 2" xfId="3"/>
    <cellStyle name="Normal 2" xfId="1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bar"/>
        <c:grouping val="clustered"/>
        <c:ser>
          <c:idx val="0"/>
          <c:order val="0"/>
          <c:cat>
            <c:strRef>
              <c:f>Diagramma!$K$3:$K$17</c:f>
              <c:strCache>
                <c:ptCount val="15"/>
                <c:pt idx="0">
                  <c:v>Temir</c:v>
                </c:pt>
                <c:pt idx="1">
                  <c:v>Neft</c:v>
                </c:pt>
                <c:pt idx="2">
                  <c:v>Metan</c:v>
                </c:pt>
                <c:pt idx="3">
                  <c:v>Propan</c:v>
                </c:pt>
                <c:pt idx="4">
                  <c:v>Butan</c:v>
                </c:pt>
                <c:pt idx="5">
                  <c:v>Qora qarag'ay</c:v>
                </c:pt>
                <c:pt idx="6">
                  <c:v>Terak</c:v>
                </c:pt>
                <c:pt idx="7">
                  <c:v>Tol</c:v>
                </c:pt>
                <c:pt idx="8">
                  <c:v>Archa</c:v>
                </c:pt>
                <c:pt idx="9">
                  <c:v>Qog'oz</c:v>
                </c:pt>
                <c:pt idx="10">
                  <c:v>Benzin</c:v>
                </c:pt>
                <c:pt idx="11">
                  <c:v>Mis</c:v>
                </c:pt>
                <c:pt idx="12">
                  <c:v>Qo'rg'oshin</c:v>
                </c:pt>
                <c:pt idx="13">
                  <c:v>Po'lat</c:v>
                </c:pt>
                <c:pt idx="14">
                  <c:v>Turbo</c:v>
                </c:pt>
              </c:strCache>
            </c:strRef>
          </c:cat>
          <c:val>
            <c:numRef>
              <c:f>Diagramma!$L$3:$L$17</c:f>
              <c:numCache>
                <c:formatCode>0.00</c:formatCode>
                <c:ptCount val="15"/>
                <c:pt idx="0">
                  <c:v>28440.28</c:v>
                </c:pt>
                <c:pt idx="1">
                  <c:v>29723.21</c:v>
                </c:pt>
                <c:pt idx="2">
                  <c:v>37216.959999999999</c:v>
                </c:pt>
                <c:pt idx="3">
                  <c:v>27505.06</c:v>
                </c:pt>
                <c:pt idx="4">
                  <c:v>17733.21</c:v>
                </c:pt>
                <c:pt idx="5">
                  <c:v>28068.59</c:v>
                </c:pt>
                <c:pt idx="6">
                  <c:v>17253.61</c:v>
                </c:pt>
                <c:pt idx="7">
                  <c:v>14941.300000000001</c:v>
                </c:pt>
                <c:pt idx="8">
                  <c:v>18097.349999999999</c:v>
                </c:pt>
                <c:pt idx="9">
                  <c:v>27581.48</c:v>
                </c:pt>
                <c:pt idx="10">
                  <c:v>8844.93</c:v>
                </c:pt>
                <c:pt idx="11">
                  <c:v>18033.43</c:v>
                </c:pt>
                <c:pt idx="12">
                  <c:v>17322.32</c:v>
                </c:pt>
                <c:pt idx="13">
                  <c:v>23650.400000000001</c:v>
                </c:pt>
                <c:pt idx="14">
                  <c:v>21152.61</c:v>
                </c:pt>
              </c:numCache>
            </c:numRef>
          </c:val>
        </c:ser>
        <c:axId val="58258560"/>
        <c:axId val="62405248"/>
      </c:barChart>
      <c:catAx>
        <c:axId val="58258560"/>
        <c:scaling>
          <c:orientation val="minMax"/>
        </c:scaling>
        <c:axPos val="l"/>
        <c:tickLblPos val="nextTo"/>
        <c:crossAx val="62405248"/>
        <c:crosses val="autoZero"/>
        <c:auto val="1"/>
        <c:lblAlgn val="ctr"/>
        <c:lblOffset val="100"/>
      </c:catAx>
      <c:valAx>
        <c:axId val="62405248"/>
        <c:scaling>
          <c:orientation val="minMax"/>
        </c:scaling>
        <c:axPos val="b"/>
        <c:majorGridlines/>
        <c:numFmt formatCode="0.00" sourceLinked="1"/>
        <c:tickLblPos val="nextTo"/>
        <c:crossAx val="582585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171450</xdr:rowOff>
    </xdr:from>
    <xdr:to>
      <xdr:col>8</xdr:col>
      <xdr:colOff>95250</xdr:colOff>
      <xdr:row>21</xdr:row>
      <xdr:rowOff>19051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N10:R25" totalsRowShown="0" headerRowBorderDxfId="5" tableBorderDxfId="6">
  <tableColumns count="5">
    <tableColumn id="1" name="Elektrodlar soni" dataDxfId="4"/>
    <tableColumn id="2" name="Narxi" dataDxfId="3"/>
    <tableColumn id="3" name="Omborda" dataDxfId="2"/>
    <tableColumn id="4" name="Sotildi" dataDxfId="1"/>
    <tableColumn id="5" name="Foyda" dataDxfId="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K2:L18" totalsRowShown="0" headerRowDxfId="10" headerRowBorderDxfId="9">
  <tableColumns count="2">
    <tableColumn id="1" name="Mahsulot nomi" dataDxfId="8"/>
    <tableColumn id="2" name=" Olingan foyda" dataDxfId="7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N1:R25"/>
  <sheetViews>
    <sheetView tabSelected="1" topLeftCell="A3" workbookViewId="0">
      <selection activeCell="A3" sqref="A3"/>
    </sheetView>
  </sheetViews>
  <sheetFormatPr defaultRowHeight="15"/>
  <cols>
    <col min="1" max="38" width="8.85546875" customWidth="1"/>
  </cols>
  <sheetData>
    <row r="1" spans="14:18" ht="13.5" customHeight="1"/>
    <row r="7" spans="14:18" ht="15.75" customHeight="1"/>
    <row r="8" spans="14:18" ht="15.75" customHeight="1"/>
    <row r="9" spans="14:18" ht="15.75" customHeight="1"/>
    <row r="10" spans="14:18" ht="15.75" customHeight="1">
      <c r="N10" s="21" t="s">
        <v>36</v>
      </c>
      <c r="O10" s="22" t="s">
        <v>5</v>
      </c>
      <c r="P10" s="23" t="s">
        <v>7</v>
      </c>
      <c r="Q10" s="23" t="s">
        <v>6</v>
      </c>
      <c r="R10" s="22" t="s">
        <v>8</v>
      </c>
    </row>
    <row r="11" spans="14:18" ht="15.75" customHeight="1">
      <c r="N11" s="9" t="s">
        <v>0</v>
      </c>
      <c r="O11" s="3">
        <v>11.99</v>
      </c>
      <c r="P11" s="1">
        <v>1126</v>
      </c>
      <c r="Q11" s="1">
        <v>2372</v>
      </c>
      <c r="R11" s="3">
        <v>28440.28</v>
      </c>
    </row>
    <row r="12" spans="14:18" ht="15.75" customHeight="1">
      <c r="N12" s="10" t="s">
        <v>0</v>
      </c>
      <c r="O12" s="4">
        <v>11.99</v>
      </c>
      <c r="P12" s="2">
        <v>1197</v>
      </c>
      <c r="Q12" s="2">
        <v>2479</v>
      </c>
      <c r="R12" s="4">
        <v>29723.21</v>
      </c>
    </row>
    <row r="13" spans="14:18" ht="15.75" customHeight="1">
      <c r="N13" s="9" t="s">
        <v>0</v>
      </c>
      <c r="O13" s="3">
        <v>11.99</v>
      </c>
      <c r="P13" s="1">
        <v>1101</v>
      </c>
      <c r="Q13" s="1">
        <v>3104</v>
      </c>
      <c r="R13" s="3">
        <v>37216.959999999999</v>
      </c>
    </row>
    <row r="14" spans="14:18" ht="15.75" customHeight="1">
      <c r="N14" s="10" t="s">
        <v>0</v>
      </c>
      <c r="O14" s="4">
        <v>11.99</v>
      </c>
      <c r="P14" s="2">
        <v>612</v>
      </c>
      <c r="Q14" s="2">
        <v>2294</v>
      </c>
      <c r="R14" s="4">
        <v>27505.06</v>
      </c>
    </row>
    <row r="15" spans="14:18" ht="15.75" customHeight="1">
      <c r="N15" s="9" t="s">
        <v>0</v>
      </c>
      <c r="O15" s="3">
        <v>11.99</v>
      </c>
      <c r="P15" s="1">
        <v>1418</v>
      </c>
      <c r="Q15" s="1">
        <v>1479</v>
      </c>
      <c r="R15" s="3">
        <v>17733.21</v>
      </c>
    </row>
    <row r="16" spans="14:18" ht="15.75" customHeight="1">
      <c r="N16" s="10" t="s">
        <v>0</v>
      </c>
      <c r="O16" s="4">
        <v>11.99</v>
      </c>
      <c r="P16" s="2">
        <v>1202</v>
      </c>
      <c r="Q16" s="2">
        <v>2341</v>
      </c>
      <c r="R16" s="4">
        <v>28068.59</v>
      </c>
    </row>
    <row r="17" spans="14:18" ht="15.75" customHeight="1">
      <c r="N17" s="9" t="s">
        <v>0</v>
      </c>
      <c r="O17" s="3">
        <v>11.99</v>
      </c>
      <c r="P17" s="1">
        <v>454</v>
      </c>
      <c r="Q17" s="1">
        <v>1439</v>
      </c>
      <c r="R17" s="3">
        <v>17253.61</v>
      </c>
    </row>
    <row r="18" spans="14:18">
      <c r="N18" s="10" t="s">
        <v>1</v>
      </c>
      <c r="O18" s="4">
        <v>7.99</v>
      </c>
      <c r="P18" s="2">
        <v>2276</v>
      </c>
      <c r="Q18" s="2">
        <v>1870</v>
      </c>
      <c r="R18" s="4">
        <v>14941.300000000001</v>
      </c>
    </row>
    <row r="19" spans="14:18">
      <c r="N19" s="9" t="s">
        <v>1</v>
      </c>
      <c r="O19" s="3">
        <v>7.99</v>
      </c>
      <c r="P19" s="1">
        <v>1136</v>
      </c>
      <c r="Q19" s="1">
        <v>2265</v>
      </c>
      <c r="R19" s="3">
        <v>18097.350000000002</v>
      </c>
    </row>
    <row r="20" spans="14:18">
      <c r="N20" s="10" t="s">
        <v>1</v>
      </c>
      <c r="O20" s="4">
        <v>7.99</v>
      </c>
      <c r="P20" s="2">
        <v>1358</v>
      </c>
      <c r="Q20" s="2">
        <v>3452</v>
      </c>
      <c r="R20" s="4">
        <v>27581.48</v>
      </c>
    </row>
    <row r="21" spans="14:18">
      <c r="N21" s="9" t="s">
        <v>1</v>
      </c>
      <c r="O21" s="3">
        <v>7.99</v>
      </c>
      <c r="P21" s="1">
        <v>880</v>
      </c>
      <c r="Q21" s="1">
        <v>1107</v>
      </c>
      <c r="R21" s="3">
        <v>8844.93</v>
      </c>
    </row>
    <row r="22" spans="14:18">
      <c r="N22" s="10" t="s">
        <v>1</v>
      </c>
      <c r="O22" s="4">
        <v>7.99</v>
      </c>
      <c r="P22" s="2">
        <v>1153</v>
      </c>
      <c r="Q22" s="2">
        <v>2257</v>
      </c>
      <c r="R22" s="4">
        <v>18033.43</v>
      </c>
    </row>
    <row r="23" spans="14:18">
      <c r="N23" s="9" t="s">
        <v>1</v>
      </c>
      <c r="O23" s="3">
        <v>7.99</v>
      </c>
      <c r="P23" s="1">
        <v>1336</v>
      </c>
      <c r="Q23" s="1">
        <v>2168</v>
      </c>
      <c r="R23" s="3">
        <v>17322.32</v>
      </c>
    </row>
    <row r="24" spans="14:18">
      <c r="N24" s="10" t="s">
        <v>1</v>
      </c>
      <c r="O24" s="4">
        <v>7.99</v>
      </c>
      <c r="P24" s="2">
        <v>1312</v>
      </c>
      <c r="Q24" s="2">
        <v>2960</v>
      </c>
      <c r="R24" s="4">
        <v>23650.400000000001</v>
      </c>
    </row>
    <row r="25" spans="14:18">
      <c r="N25" s="24" t="s">
        <v>2</v>
      </c>
      <c r="O25" s="25">
        <v>4.99</v>
      </c>
      <c r="P25" s="26">
        <v>2229</v>
      </c>
      <c r="Q25" s="26">
        <v>4239</v>
      </c>
      <c r="R25" s="25">
        <v>21152.61</v>
      </c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/>
  </sheetPr>
  <dimension ref="K2:Q21"/>
  <sheetViews>
    <sheetView workbookViewId="0">
      <selection activeCell="N6" sqref="N6:Q21"/>
    </sheetView>
  </sheetViews>
  <sheetFormatPr defaultRowHeight="15"/>
  <cols>
    <col min="2" max="2" width="22.5703125" customWidth="1"/>
    <col min="3" max="3" width="18.5703125" customWidth="1"/>
    <col min="11" max="11" width="18.7109375" customWidth="1"/>
    <col min="12" max="12" width="16.85546875" customWidth="1"/>
  </cols>
  <sheetData>
    <row r="2" spans="11:17" ht="33.75" customHeight="1">
      <c r="K2" s="20" t="s">
        <v>38</v>
      </c>
      <c r="L2" s="19" t="s">
        <v>39</v>
      </c>
    </row>
    <row r="3" spans="11:17">
      <c r="K3" s="15" t="s">
        <v>26</v>
      </c>
      <c r="L3" s="16">
        <v>28440.28</v>
      </c>
    </row>
    <row r="4" spans="11:17">
      <c r="K4" s="15" t="s">
        <v>24</v>
      </c>
      <c r="L4" s="16">
        <v>29723.21</v>
      </c>
    </row>
    <row r="5" spans="11:17">
      <c r="K5" s="15" t="s">
        <v>14</v>
      </c>
      <c r="L5" s="16">
        <v>37216.959999999999</v>
      </c>
    </row>
    <row r="6" spans="11:17" ht="93.75">
      <c r="K6" s="15" t="s">
        <v>15</v>
      </c>
      <c r="L6" s="16">
        <v>27505.06</v>
      </c>
      <c r="N6" s="5" t="s">
        <v>10</v>
      </c>
      <c r="O6" s="5" t="s">
        <v>3</v>
      </c>
      <c r="P6" s="6" t="s">
        <v>9</v>
      </c>
      <c r="Q6" s="6" t="s">
        <v>4</v>
      </c>
    </row>
    <row r="7" spans="11:17">
      <c r="K7" s="15" t="s">
        <v>16</v>
      </c>
      <c r="L7" s="16">
        <v>17733.21</v>
      </c>
      <c r="N7" s="7">
        <v>1</v>
      </c>
      <c r="O7" s="11" t="s">
        <v>11</v>
      </c>
      <c r="P7" s="13" t="s">
        <v>33</v>
      </c>
      <c r="Q7" s="13" t="s">
        <v>26</v>
      </c>
    </row>
    <row r="8" spans="11:17">
      <c r="K8" s="15" t="s">
        <v>18</v>
      </c>
      <c r="L8" s="16">
        <v>28068.59</v>
      </c>
      <c r="N8" s="8">
        <v>2</v>
      </c>
      <c r="O8" s="12" t="s">
        <v>23</v>
      </c>
      <c r="P8" s="14" t="s">
        <v>12</v>
      </c>
      <c r="Q8" s="14" t="s">
        <v>24</v>
      </c>
    </row>
    <row r="9" spans="11:17">
      <c r="K9" s="15" t="s">
        <v>19</v>
      </c>
      <c r="L9" s="16">
        <v>17253.61</v>
      </c>
      <c r="N9" s="7">
        <v>3</v>
      </c>
      <c r="O9" s="11" t="s">
        <v>13</v>
      </c>
      <c r="P9" s="13" t="s">
        <v>32</v>
      </c>
      <c r="Q9" s="13" t="s">
        <v>14</v>
      </c>
    </row>
    <row r="10" spans="11:17">
      <c r="K10" s="15" t="s">
        <v>20</v>
      </c>
      <c r="L10" s="16">
        <v>14941.300000000001</v>
      </c>
      <c r="N10" s="8">
        <v>4</v>
      </c>
      <c r="O10" s="12" t="s">
        <v>13</v>
      </c>
      <c r="P10" s="14" t="s">
        <v>32</v>
      </c>
      <c r="Q10" s="14" t="s">
        <v>15</v>
      </c>
    </row>
    <row r="11" spans="11:17">
      <c r="K11" s="15" t="s">
        <v>21</v>
      </c>
      <c r="L11" s="16">
        <v>18097.349999999999</v>
      </c>
      <c r="N11" s="7">
        <v>5</v>
      </c>
      <c r="O11" s="11" t="s">
        <v>13</v>
      </c>
      <c r="P11" s="13" t="s">
        <v>32</v>
      </c>
      <c r="Q11" s="13" t="s">
        <v>16</v>
      </c>
    </row>
    <row r="12" spans="11:17">
      <c r="K12" s="15" t="s">
        <v>22</v>
      </c>
      <c r="L12" s="16">
        <v>27581.48</v>
      </c>
      <c r="N12" s="8">
        <v>6</v>
      </c>
      <c r="O12" s="12" t="s">
        <v>17</v>
      </c>
      <c r="P12" s="14" t="s">
        <v>35</v>
      </c>
      <c r="Q12" s="14" t="s">
        <v>18</v>
      </c>
    </row>
    <row r="13" spans="11:17">
      <c r="K13" s="15" t="s">
        <v>25</v>
      </c>
      <c r="L13" s="16">
        <v>8844.93</v>
      </c>
      <c r="N13" s="7">
        <v>7</v>
      </c>
      <c r="O13" s="11" t="s">
        <v>17</v>
      </c>
      <c r="P13" s="13" t="s">
        <v>35</v>
      </c>
      <c r="Q13" s="13" t="s">
        <v>19</v>
      </c>
    </row>
    <row r="14" spans="11:17">
      <c r="K14" s="15" t="s">
        <v>27</v>
      </c>
      <c r="L14" s="16">
        <v>18033.43</v>
      </c>
      <c r="N14" s="8">
        <v>8</v>
      </c>
      <c r="O14" s="12" t="s">
        <v>17</v>
      </c>
      <c r="P14" s="14" t="s">
        <v>35</v>
      </c>
      <c r="Q14" s="14" t="s">
        <v>20</v>
      </c>
    </row>
    <row r="15" spans="11:17">
      <c r="K15" s="15" t="s">
        <v>28</v>
      </c>
      <c r="L15" s="16">
        <v>17322.32</v>
      </c>
      <c r="N15" s="7">
        <v>9</v>
      </c>
      <c r="O15" s="11" t="s">
        <v>17</v>
      </c>
      <c r="P15" s="13" t="s">
        <v>35</v>
      </c>
      <c r="Q15" s="13" t="s">
        <v>21</v>
      </c>
    </row>
    <row r="16" spans="11:17">
      <c r="K16" s="15" t="s">
        <v>29</v>
      </c>
      <c r="L16" s="16">
        <v>23650.400000000001</v>
      </c>
      <c r="N16" s="8">
        <v>10</v>
      </c>
      <c r="O16" s="12" t="s">
        <v>17</v>
      </c>
      <c r="P16" s="14" t="s">
        <v>35</v>
      </c>
      <c r="Q16" s="14" t="s">
        <v>22</v>
      </c>
    </row>
    <row r="17" spans="11:17">
      <c r="K17" s="15" t="s">
        <v>31</v>
      </c>
      <c r="L17" s="16">
        <v>21152.61</v>
      </c>
      <c r="N17" s="7">
        <v>11</v>
      </c>
      <c r="O17" s="11" t="s">
        <v>23</v>
      </c>
      <c r="P17" s="13" t="s">
        <v>12</v>
      </c>
      <c r="Q17" s="13" t="s">
        <v>25</v>
      </c>
    </row>
    <row r="18" spans="11:17">
      <c r="K18" s="17" t="s">
        <v>37</v>
      </c>
      <c r="L18" s="18">
        <f>SUM(L3:L17)</f>
        <v>335564.74</v>
      </c>
      <c r="N18" s="8">
        <v>12</v>
      </c>
      <c r="O18" s="12" t="s">
        <v>11</v>
      </c>
      <c r="P18" s="14" t="s">
        <v>33</v>
      </c>
      <c r="Q18" s="14" t="s">
        <v>27</v>
      </c>
    </row>
    <row r="19" spans="11:17">
      <c r="N19" s="7">
        <v>13</v>
      </c>
      <c r="O19" s="11" t="s">
        <v>11</v>
      </c>
      <c r="P19" s="13" t="s">
        <v>33</v>
      </c>
      <c r="Q19" s="13" t="s">
        <v>28</v>
      </c>
    </row>
    <row r="20" spans="11:17">
      <c r="N20" s="8">
        <v>14</v>
      </c>
      <c r="O20" s="12" t="s">
        <v>11</v>
      </c>
      <c r="P20" s="14" t="s">
        <v>33</v>
      </c>
      <c r="Q20" s="14" t="s">
        <v>29</v>
      </c>
    </row>
    <row r="21" spans="11:17">
      <c r="N21" s="7">
        <v>15</v>
      </c>
      <c r="O21" s="11" t="s">
        <v>30</v>
      </c>
      <c r="P21" s="13" t="s">
        <v>34</v>
      </c>
      <c r="Q21" s="13" t="s">
        <v>31</v>
      </c>
    </row>
  </sheetData>
  <pageMargins left="0.7" right="0.7" top="0.75" bottom="0.75" header="0.3" footer="0.3"/>
  <pageSetup paperSize="9" orientation="portrait" horizontalDpi="300" verticalDpi="0" copies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2015-yilgi</vt:lpstr>
      <vt:lpstr>Diagramma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2015-05-07T15:49:28Z</dcterms:modified>
</cp:coreProperties>
</file>