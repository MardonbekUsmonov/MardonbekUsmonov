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2"/>
  <c r="I3"/>
  <c r="I4"/>
  <c r="I5"/>
  <c r="I6"/>
  <c r="I7"/>
  <c r="I8"/>
  <c r="I9"/>
  <c r="I10"/>
  <c r="I11"/>
  <c r="I12"/>
  <c r="I13"/>
  <c r="I14"/>
  <c r="I15"/>
  <c r="I16"/>
  <c r="I2"/>
</calcChain>
</file>

<file path=xl/sharedStrings.xml><?xml version="1.0" encoding="utf-8"?>
<sst xmlns="http://schemas.openxmlformats.org/spreadsheetml/2006/main" count="69" uniqueCount="35">
  <si>
    <t>T/R</t>
  </si>
  <si>
    <t>Mahsulot kategoriyasi</t>
  </si>
  <si>
    <t>Mahsulot sotish bo'limlar</t>
  </si>
  <si>
    <t>Mahsulotlar</t>
  </si>
  <si>
    <t>Narxi</t>
  </si>
  <si>
    <t>Sotildi</t>
  </si>
  <si>
    <t>Foyda</t>
  </si>
  <si>
    <t>Metal</t>
  </si>
  <si>
    <t>Og'ir metallurgiya</t>
  </si>
  <si>
    <t>Temir</t>
  </si>
  <si>
    <t>Yoqilg'i</t>
  </si>
  <si>
    <t>Suyuqlik</t>
  </si>
  <si>
    <t>Neft</t>
  </si>
  <si>
    <t>Gaz</t>
  </si>
  <si>
    <t>Moddalar</t>
  </si>
  <si>
    <t>Metan</t>
  </si>
  <si>
    <t>Propan</t>
  </si>
  <si>
    <t>Butan</t>
  </si>
  <si>
    <t>Yog'och</t>
  </si>
  <si>
    <t>Yog'ochsozlik</t>
  </si>
  <si>
    <t>Qora qarag'ay</t>
  </si>
  <si>
    <t>Terak</t>
  </si>
  <si>
    <t>Tol</t>
  </si>
  <si>
    <t>Archa</t>
  </si>
  <si>
    <t>Qog'oz</t>
  </si>
  <si>
    <t>Benzin</t>
  </si>
  <si>
    <t>Mis</t>
  </si>
  <si>
    <t>Qo'rg'oshin</t>
  </si>
  <si>
    <t>Po'lat</t>
  </si>
  <si>
    <t>Plastik</t>
  </si>
  <si>
    <t>Plastmassa</t>
  </si>
  <si>
    <t>Turbo</t>
  </si>
  <si>
    <t xml:space="preserve"> </t>
  </si>
  <si>
    <t>Formular yozuvlarda</t>
  </si>
  <si>
    <t>Olindi</t>
  </si>
</sst>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2">
    <font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3" tint="-0.249977111117893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64" fontId="1" fillId="2" borderId="0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2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right" vertical="center"/>
    </xf>
    <xf numFmtId="0" fontId="0" fillId="0" borderId="4" xfId="0" applyBorder="1"/>
    <xf numFmtId="0" fontId="0" fillId="0" borderId="4" xfId="0" applyBorder="1" applyAlignment="1">
      <alignment horizontal="right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2" fontId="0" fillId="0" borderId="4" xfId="0" applyNumberFormat="1" applyFont="1" applyFill="1" applyBorder="1" applyAlignment="1">
      <alignment horizontal="right" vertical="center"/>
    </xf>
    <xf numFmtId="0" fontId="0" fillId="0" borderId="4" xfId="0" applyFont="1" applyFill="1" applyBorder="1" applyAlignment="1">
      <alignment horizontal="right" vertical="center"/>
    </xf>
  </cellXfs>
  <cellStyles count="1">
    <cellStyle name="Обычный" xfId="0" builtinId="0"/>
  </cellStyles>
  <dxfs count="6">
    <dxf>
      <border diagonalUp="0" diagonalDown="0">
        <left style="thin">
          <color rgb="FF0070C0"/>
        </left>
        <right style="thin">
          <color rgb="FF0070C0"/>
        </right>
        <top/>
        <bottom/>
        <vertical/>
        <horizontal/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_([$$-409]* #,##0.00_);_([$$-409]* \(#,##0.00\);_([$$-409]* &quot;-&quot;??_);_(@_)"/>
      <fill>
        <patternFill patternType="solid">
          <fgColor theme="4"/>
          <bgColor theme="4"/>
        </patternFill>
      </fill>
      <alignment horizontal="right" vertical="center" textRotation="0" wrapText="1" indent="0" relativeIndent="0" justifyLastLine="0" shrinkToFit="0" mergeCell="0" readingOrder="0"/>
    </dxf>
    <dxf>
      <alignment horizontal="right" vertical="center" textRotation="0" wrapText="0" indent="0" relativeIndent="255" justifyLastLine="0" shrinkToFit="0" mergeCell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alignment horizontal="right" vertical="center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_([$$-409]* #,##0.00_);_([$$-409]* \(#,##0.00\);_([$$-409]* &quot;-&quot;??_);_(@_)"/>
      <fill>
        <patternFill patternType="solid">
          <fgColor theme="4"/>
          <bgColor theme="4"/>
        </patternFill>
      </fill>
      <alignment horizontal="center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361949</xdr:colOff>
      <xdr:row>0</xdr:row>
      <xdr:rowOff>0</xdr:rowOff>
    </xdr:from>
    <xdr:to>
      <xdr:col>7</xdr:col>
      <xdr:colOff>134407</xdr:colOff>
      <xdr:row>0</xdr:row>
      <xdr:rowOff>10546</xdr:rowOff>
    </xdr:to>
    <xdr:pic>
      <xdr:nvPicPr>
        <xdr:cNvPr id="3" name="Рисунок 2" descr="fil.jpg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rcRect l="14130" t="8939" r="13696" b="8891"/>
        <a:stretch>
          <a:fillRect/>
        </a:stretch>
      </xdr:blipFill>
      <xdr:spPr>
        <a:xfrm>
          <a:off x="10220324" y="0"/>
          <a:ext cx="1315508" cy="105829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twoCellAnchor editAs="oneCell">
    <xdr:from>
      <xdr:col>7</xdr:col>
      <xdr:colOff>361949</xdr:colOff>
      <xdr:row>0</xdr:row>
      <xdr:rowOff>0</xdr:rowOff>
    </xdr:from>
    <xdr:to>
      <xdr:col>7</xdr:col>
      <xdr:colOff>1220257</xdr:colOff>
      <xdr:row>0</xdr:row>
      <xdr:rowOff>10546</xdr:rowOff>
    </xdr:to>
    <xdr:pic>
      <xdr:nvPicPr>
        <xdr:cNvPr id="4" name="Рисунок 3" descr="fil.jpg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rcRect l="14130" t="8939" r="13696" b="8891"/>
        <a:stretch>
          <a:fillRect/>
        </a:stretch>
      </xdr:blipFill>
      <xdr:spPr>
        <a:xfrm>
          <a:off x="8220074" y="0"/>
          <a:ext cx="858308" cy="1054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</xdr:wsDr>
</file>

<file path=xl/tables/table1.xml><?xml version="1.0" encoding="utf-8"?>
<table xmlns="http://schemas.openxmlformats.org/spreadsheetml/2006/main" id="5" name="Таблица5" displayName="Таблица5" ref="I1:I16" totalsRowShown="0" headerRowDxfId="5" dataDxfId="4">
  <tableColumns count="1">
    <tableColumn id="1" name="Formular yozuvlarda" dataDxfId="3">
      <calculatedColumnFormula>D2&amp;J2&amp;B2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6" name="Таблица6" displayName="Таблица6" ref="H1:H16" totalsRowShown="0" headerRowDxfId="2" tableBorderDxfId="1">
  <tableColumns count="1">
    <tableColumn id="1" name="Foyda" dataDxfId="0">
      <calculatedColumnFormula>F2+G2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zoomScale="90" zoomScaleNormal="90" workbookViewId="0"/>
  </sheetViews>
  <sheetFormatPr defaultRowHeight="15"/>
  <cols>
    <col min="2" max="2" width="28.42578125" customWidth="1"/>
    <col min="3" max="3" width="31.42578125" customWidth="1"/>
    <col min="4" max="7" width="16.28515625" customWidth="1"/>
    <col min="8" max="8" width="19.42578125" customWidth="1"/>
    <col min="9" max="9" width="30.7109375" customWidth="1"/>
  </cols>
  <sheetData>
    <row r="1" spans="1:10" ht="54.75" customHeight="1">
      <c r="A1" s="7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34</v>
      </c>
      <c r="G1" s="5" t="s">
        <v>5</v>
      </c>
      <c r="H1" s="6" t="s">
        <v>6</v>
      </c>
      <c r="I1" s="1" t="s">
        <v>33</v>
      </c>
    </row>
    <row r="2" spans="1:10" ht="20.25" customHeight="1">
      <c r="A2" s="8">
        <v>1</v>
      </c>
      <c r="B2" s="9" t="s">
        <v>7</v>
      </c>
      <c r="C2" s="9" t="s">
        <v>8</v>
      </c>
      <c r="D2" s="9" t="s">
        <v>9</v>
      </c>
      <c r="E2" s="10">
        <v>11.99</v>
      </c>
      <c r="F2" s="11">
        <v>1126</v>
      </c>
      <c r="G2" s="11">
        <v>2372</v>
      </c>
      <c r="H2" s="12">
        <f>F2+G2</f>
        <v>3498</v>
      </c>
      <c r="I2" s="13" t="str">
        <f t="shared" ref="I2:I16" si="0">D2&amp;J2&amp;B2</f>
        <v>Temir Metal</v>
      </c>
      <c r="J2" t="s">
        <v>32</v>
      </c>
    </row>
    <row r="3" spans="1:10" ht="20.25" customHeight="1">
      <c r="A3" s="14">
        <v>2</v>
      </c>
      <c r="B3" s="15" t="s">
        <v>10</v>
      </c>
      <c r="C3" s="15" t="s">
        <v>11</v>
      </c>
      <c r="D3" s="15" t="s">
        <v>12</v>
      </c>
      <c r="E3" s="16">
        <v>11.99</v>
      </c>
      <c r="F3" s="17">
        <v>1197</v>
      </c>
      <c r="G3" s="17">
        <v>2479</v>
      </c>
      <c r="H3" s="12">
        <f t="shared" ref="H3:H16" si="1">F3+G3</f>
        <v>3676</v>
      </c>
      <c r="I3" s="13" t="str">
        <f t="shared" si="0"/>
        <v>Neft Yoqilg'i</v>
      </c>
      <c r="J3" t="s">
        <v>32</v>
      </c>
    </row>
    <row r="4" spans="1:10" ht="20.25" customHeight="1">
      <c r="A4" s="8">
        <v>3</v>
      </c>
      <c r="B4" s="9" t="s">
        <v>13</v>
      </c>
      <c r="C4" s="9" t="s">
        <v>14</v>
      </c>
      <c r="D4" s="9" t="s">
        <v>15</v>
      </c>
      <c r="E4" s="10">
        <v>11.99</v>
      </c>
      <c r="F4" s="11">
        <v>1101</v>
      </c>
      <c r="G4" s="11">
        <v>3104</v>
      </c>
      <c r="H4" s="12">
        <f t="shared" si="1"/>
        <v>4205</v>
      </c>
      <c r="I4" s="13" t="str">
        <f t="shared" si="0"/>
        <v>Metan Gaz</v>
      </c>
      <c r="J4" t="s">
        <v>32</v>
      </c>
    </row>
    <row r="5" spans="1:10" ht="20.25" customHeight="1">
      <c r="A5" s="14">
        <v>4</v>
      </c>
      <c r="B5" s="15" t="s">
        <v>13</v>
      </c>
      <c r="C5" s="15" t="s">
        <v>14</v>
      </c>
      <c r="D5" s="15" t="s">
        <v>16</v>
      </c>
      <c r="E5" s="16">
        <v>11.99</v>
      </c>
      <c r="F5" s="17">
        <v>612</v>
      </c>
      <c r="G5" s="17">
        <v>2294</v>
      </c>
      <c r="H5" s="12">
        <f t="shared" si="1"/>
        <v>2906</v>
      </c>
      <c r="I5" s="13" t="str">
        <f t="shared" si="0"/>
        <v>Propan Gaz</v>
      </c>
      <c r="J5" t="s">
        <v>32</v>
      </c>
    </row>
    <row r="6" spans="1:10" ht="20.25" customHeight="1">
      <c r="A6" s="8">
        <v>5</v>
      </c>
      <c r="B6" s="9" t="s">
        <v>13</v>
      </c>
      <c r="C6" s="9" t="s">
        <v>14</v>
      </c>
      <c r="D6" s="9" t="s">
        <v>17</v>
      </c>
      <c r="E6" s="10">
        <v>11.99</v>
      </c>
      <c r="F6" s="11">
        <v>1418</v>
      </c>
      <c r="G6" s="11">
        <v>1479</v>
      </c>
      <c r="H6" s="12">
        <f t="shared" si="1"/>
        <v>2897</v>
      </c>
      <c r="I6" s="13" t="str">
        <f t="shared" si="0"/>
        <v>Butan Gaz</v>
      </c>
      <c r="J6" t="s">
        <v>32</v>
      </c>
    </row>
    <row r="7" spans="1:10" ht="20.25" customHeight="1">
      <c r="A7" s="14">
        <v>6</v>
      </c>
      <c r="B7" s="15" t="s">
        <v>18</v>
      </c>
      <c r="C7" s="15" t="s">
        <v>19</v>
      </c>
      <c r="D7" s="15" t="s">
        <v>20</v>
      </c>
      <c r="E7" s="16">
        <v>11.99</v>
      </c>
      <c r="F7" s="17">
        <v>1202</v>
      </c>
      <c r="G7" s="17">
        <v>2341</v>
      </c>
      <c r="H7" s="12">
        <f t="shared" si="1"/>
        <v>3543</v>
      </c>
      <c r="I7" s="13" t="str">
        <f t="shared" si="0"/>
        <v>Qora qarag'ay Yog'och</v>
      </c>
      <c r="J7" t="s">
        <v>32</v>
      </c>
    </row>
    <row r="8" spans="1:10" ht="20.25" customHeight="1">
      <c r="A8" s="8">
        <v>7</v>
      </c>
      <c r="B8" s="9" t="s">
        <v>18</v>
      </c>
      <c r="C8" s="9" t="s">
        <v>19</v>
      </c>
      <c r="D8" s="9" t="s">
        <v>21</v>
      </c>
      <c r="E8" s="10">
        <v>11.99</v>
      </c>
      <c r="F8" s="11">
        <v>454</v>
      </c>
      <c r="G8" s="11">
        <v>1439</v>
      </c>
      <c r="H8" s="12">
        <f t="shared" si="1"/>
        <v>1893</v>
      </c>
      <c r="I8" s="13" t="str">
        <f t="shared" si="0"/>
        <v>Terak Yog'och</v>
      </c>
      <c r="J8" t="s">
        <v>32</v>
      </c>
    </row>
    <row r="9" spans="1:10" ht="20.25" customHeight="1">
      <c r="A9" s="14">
        <v>8</v>
      </c>
      <c r="B9" s="15" t="s">
        <v>18</v>
      </c>
      <c r="C9" s="15" t="s">
        <v>19</v>
      </c>
      <c r="D9" s="15" t="s">
        <v>22</v>
      </c>
      <c r="E9" s="16">
        <v>7.99</v>
      </c>
      <c r="F9" s="17">
        <v>2276</v>
      </c>
      <c r="G9" s="17">
        <v>1870</v>
      </c>
      <c r="H9" s="12">
        <f t="shared" si="1"/>
        <v>4146</v>
      </c>
      <c r="I9" s="13" t="str">
        <f t="shared" si="0"/>
        <v>Tol Yog'och</v>
      </c>
      <c r="J9" t="s">
        <v>32</v>
      </c>
    </row>
    <row r="10" spans="1:10" ht="20.25" customHeight="1">
      <c r="A10" s="8">
        <v>9</v>
      </c>
      <c r="B10" s="9" t="s">
        <v>18</v>
      </c>
      <c r="C10" s="9" t="s">
        <v>19</v>
      </c>
      <c r="D10" s="9" t="s">
        <v>23</v>
      </c>
      <c r="E10" s="10">
        <v>7.99</v>
      </c>
      <c r="F10" s="11">
        <v>1136</v>
      </c>
      <c r="G10" s="11">
        <v>2265</v>
      </c>
      <c r="H10" s="12">
        <f t="shared" si="1"/>
        <v>3401</v>
      </c>
      <c r="I10" s="13" t="str">
        <f t="shared" si="0"/>
        <v>Archa Yog'och</v>
      </c>
      <c r="J10" t="s">
        <v>32</v>
      </c>
    </row>
    <row r="11" spans="1:10" ht="20.25" customHeight="1">
      <c r="A11" s="14">
        <v>10</v>
      </c>
      <c r="B11" s="15" t="s">
        <v>18</v>
      </c>
      <c r="C11" s="15" t="s">
        <v>19</v>
      </c>
      <c r="D11" s="15" t="s">
        <v>24</v>
      </c>
      <c r="E11" s="16">
        <v>7.99</v>
      </c>
      <c r="F11" s="17">
        <v>1358</v>
      </c>
      <c r="G11" s="17">
        <v>3452</v>
      </c>
      <c r="H11" s="12">
        <f t="shared" si="1"/>
        <v>4810</v>
      </c>
      <c r="I11" s="13" t="str">
        <f t="shared" si="0"/>
        <v>Qog'oz Yog'och</v>
      </c>
      <c r="J11" t="s">
        <v>32</v>
      </c>
    </row>
    <row r="12" spans="1:10" ht="20.25" customHeight="1">
      <c r="A12" s="8">
        <v>11</v>
      </c>
      <c r="B12" s="9" t="s">
        <v>10</v>
      </c>
      <c r="C12" s="9" t="s">
        <v>11</v>
      </c>
      <c r="D12" s="9" t="s">
        <v>25</v>
      </c>
      <c r="E12" s="10">
        <v>7.99</v>
      </c>
      <c r="F12" s="11">
        <v>880</v>
      </c>
      <c r="G12" s="11">
        <v>1107</v>
      </c>
      <c r="H12" s="12">
        <f t="shared" si="1"/>
        <v>1987</v>
      </c>
      <c r="I12" s="13" t="str">
        <f t="shared" si="0"/>
        <v>Benzin Yoqilg'i</v>
      </c>
      <c r="J12" t="s">
        <v>32</v>
      </c>
    </row>
    <row r="13" spans="1:10" ht="20.25" customHeight="1">
      <c r="A13" s="14">
        <v>12</v>
      </c>
      <c r="B13" s="15" t="s">
        <v>7</v>
      </c>
      <c r="C13" s="15" t="s">
        <v>8</v>
      </c>
      <c r="D13" s="15" t="s">
        <v>26</v>
      </c>
      <c r="E13" s="16">
        <v>7.99</v>
      </c>
      <c r="F13" s="17">
        <v>1153</v>
      </c>
      <c r="G13" s="17">
        <v>2257</v>
      </c>
      <c r="H13" s="12">
        <f t="shared" si="1"/>
        <v>3410</v>
      </c>
      <c r="I13" s="13" t="str">
        <f t="shared" si="0"/>
        <v>Mis Metal</v>
      </c>
      <c r="J13" t="s">
        <v>32</v>
      </c>
    </row>
    <row r="14" spans="1:10" ht="20.25" customHeight="1">
      <c r="A14" s="8">
        <v>13</v>
      </c>
      <c r="B14" s="9" t="s">
        <v>7</v>
      </c>
      <c r="C14" s="9" t="s">
        <v>8</v>
      </c>
      <c r="D14" s="9" t="s">
        <v>27</v>
      </c>
      <c r="E14" s="10">
        <v>7.99</v>
      </c>
      <c r="F14" s="11">
        <v>1336</v>
      </c>
      <c r="G14" s="11">
        <v>2168</v>
      </c>
      <c r="H14" s="12">
        <f t="shared" si="1"/>
        <v>3504</v>
      </c>
      <c r="I14" s="13" t="str">
        <f t="shared" si="0"/>
        <v>Qo'rg'oshin Metal</v>
      </c>
      <c r="J14" t="s">
        <v>32</v>
      </c>
    </row>
    <row r="15" spans="1:10" ht="20.25" customHeight="1">
      <c r="A15" s="14">
        <v>14</v>
      </c>
      <c r="B15" s="15" t="s">
        <v>7</v>
      </c>
      <c r="C15" s="15" t="s">
        <v>8</v>
      </c>
      <c r="D15" s="15" t="s">
        <v>28</v>
      </c>
      <c r="E15" s="16">
        <v>7.99</v>
      </c>
      <c r="F15" s="17">
        <v>1312</v>
      </c>
      <c r="G15" s="17">
        <v>2960</v>
      </c>
      <c r="H15" s="12">
        <f t="shared" si="1"/>
        <v>4272</v>
      </c>
      <c r="I15" s="13" t="str">
        <f t="shared" si="0"/>
        <v>Po'lat Metal</v>
      </c>
      <c r="J15" t="s">
        <v>32</v>
      </c>
    </row>
    <row r="16" spans="1:10" ht="20.25" customHeight="1">
      <c r="A16" s="8">
        <v>15</v>
      </c>
      <c r="B16" s="9" t="s">
        <v>29</v>
      </c>
      <c r="C16" s="9" t="s">
        <v>30</v>
      </c>
      <c r="D16" s="9" t="s">
        <v>31</v>
      </c>
      <c r="E16" s="10">
        <v>4.99</v>
      </c>
      <c r="F16" s="11">
        <v>2229</v>
      </c>
      <c r="G16" s="11">
        <v>4239</v>
      </c>
      <c r="H16" s="12">
        <f t="shared" si="1"/>
        <v>6468</v>
      </c>
      <c r="I16" s="13" t="str">
        <f t="shared" si="0"/>
        <v>Turbo Plastik</v>
      </c>
      <c r="J16" t="s">
        <v>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2015-05-07T15:49:54Z</dcterms:created>
  <dcterms:modified xsi:type="dcterms:W3CDTF">2015-05-08T19:41:50Z</dcterms:modified>
</cp:coreProperties>
</file>