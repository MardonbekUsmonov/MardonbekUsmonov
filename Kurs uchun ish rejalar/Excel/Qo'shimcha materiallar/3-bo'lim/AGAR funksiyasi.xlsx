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yect\Kurs uchun ish rejalar\Excel\Qo'shimcha materiallar\3-bo'lim\"/>
    </mc:Choice>
  </mc:AlternateContent>
  <xr:revisionPtr revIDLastSave="0" documentId="13_ncr:1_{31E864C3-F2FC-4FCC-B0F9-83C7F08202B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lkfjgk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3" i="1"/>
  <c r="C6" i="1"/>
  <c r="D6" i="1" s="1"/>
  <c r="C36" i="1"/>
  <c r="D36" i="1" s="1"/>
  <c r="C4" i="1"/>
  <c r="D4" i="1" s="1"/>
  <c r="C5" i="1"/>
  <c r="D5" i="1" s="1"/>
  <c r="C7" i="1"/>
  <c r="D7" i="1" s="1"/>
  <c r="C8" i="1"/>
  <c r="D8" i="1" s="1"/>
  <c r="C9" i="1"/>
  <c r="D9" i="1" s="1"/>
  <c r="C10" i="1"/>
  <c r="C11" i="1"/>
  <c r="D11" i="1" s="1"/>
  <c r="C12" i="1"/>
  <c r="D12" i="1" s="1"/>
  <c r="C13" i="1"/>
  <c r="D13" i="1" s="1"/>
  <c r="C14" i="1"/>
  <c r="D14" i="1" s="1"/>
  <c r="C15" i="1"/>
  <c r="C16" i="1"/>
  <c r="C17" i="1"/>
  <c r="C18" i="1"/>
  <c r="C19" i="1"/>
  <c r="C20" i="1"/>
  <c r="D20" i="1" s="1"/>
  <c r="C21" i="1"/>
  <c r="D21" i="1" s="1"/>
  <c r="C22" i="1"/>
  <c r="C23" i="1"/>
  <c r="C24" i="1"/>
  <c r="C25" i="1"/>
  <c r="C26" i="1"/>
  <c r="C27" i="1"/>
  <c r="C28" i="1"/>
  <c r="C29" i="1"/>
  <c r="C30" i="1"/>
  <c r="C31" i="1"/>
  <c r="C32" i="1"/>
  <c r="D32" i="1" s="1"/>
  <c r="C33" i="1"/>
  <c r="D33" i="1" s="1"/>
  <c r="C34" i="1"/>
  <c r="C35" i="1"/>
  <c r="C37" i="1"/>
  <c r="C38" i="1"/>
  <c r="C39" i="1"/>
  <c r="C40" i="1"/>
  <c r="C41" i="1"/>
  <c r="C42" i="1"/>
  <c r="C3" i="1"/>
  <c r="D3" i="1" s="1"/>
  <c r="D10" i="1"/>
  <c r="D15" i="1"/>
  <c r="D16" i="1"/>
  <c r="D17" i="1"/>
  <c r="D18" i="1"/>
  <c r="D19" i="1"/>
  <c r="D22" i="1"/>
  <c r="D23" i="1"/>
  <c r="D24" i="1"/>
  <c r="D25" i="1"/>
  <c r="D26" i="1"/>
  <c r="D27" i="1"/>
  <c r="D28" i="1"/>
  <c r="D29" i="1"/>
  <c r="D30" i="1"/>
  <c r="D31" i="1"/>
  <c r="D34" i="1"/>
  <c r="D35" i="1"/>
  <c r="D37" i="1"/>
  <c r="D38" i="1"/>
  <c r="D39" i="1"/>
  <c r="D40" i="1"/>
  <c r="D41" i="1"/>
  <c r="D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Mardonbek Usmonov</author>
  </authors>
  <commentList>
    <comment ref="A3" authorId="0" shapeId="0" xr:uid="{6073C97C-2D15-4ED9-A47E-B77D0540D5FB}">
      <text>
        <r>
          <rPr>
            <b/>
            <sz val="9"/>
            <color indexed="81"/>
            <rFont val="Tahoma"/>
            <charset val="1"/>
          </rPr>
          <t>Mardonbek Usmonov: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<sst xmlns="http://schemas.openxmlformats.org/spreadsheetml/2006/main" count="50" uniqueCount="20">
  <si>
    <t>Izoh</t>
  </si>
  <si>
    <t>Toshmatov A.</t>
  </si>
  <si>
    <t>Boltayev K.</t>
  </si>
  <si>
    <t>Teshayev J.</t>
  </si>
  <si>
    <t>Sobirov S.</t>
  </si>
  <si>
    <t>Eshmatov D.</t>
  </si>
  <si>
    <t>Olimov L.</t>
  </si>
  <si>
    <t>Temurov G.</t>
  </si>
  <si>
    <t>G'ulomov F.</t>
  </si>
  <si>
    <t>Jo'rayev K.</t>
  </si>
  <si>
    <t>Zuparova K.</t>
  </si>
  <si>
    <t>Holiqova S.</t>
  </si>
  <si>
    <t>Ustama</t>
  </si>
  <si>
    <t>"Eshmat servis" MChJ
Sotuvchilarga ustama berish tartibi</t>
  </si>
  <si>
    <t>Tarif</t>
  </si>
  <si>
    <t>Kam bo'lsa</t>
  </si>
  <si>
    <t>Ko'p bo'lsa</t>
  </si>
  <si>
    <t>Sotuvchi</t>
  </si>
  <si>
    <r>
      <t xml:space="preserve">Keltirgan daromadi </t>
    </r>
    <r>
      <rPr>
        <i/>
        <sz val="8"/>
        <color indexed="9"/>
        <rFont val="Cambria"/>
        <family val="1"/>
        <charset val="204"/>
        <scheme val="major"/>
      </rPr>
      <t>(ming so'mda)</t>
    </r>
  </si>
  <si>
    <t>Miqdor 400 ming so'mdan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</si>
</sst>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indexed="9"/>
      <name val="Cambria"/>
      <family val="1"/>
      <charset val="204"/>
      <scheme val="major"/>
    </font>
    <font>
      <i/>
      <sz val="8"/>
      <color indexed="9"/>
      <name val="Cambria"/>
      <family val="1"/>
      <charset val="204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0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28575</xdr:colOff>
      <xdr:row>1</xdr:row>
      <xdr:rowOff>26194</xdr:rowOff>
    </xdr:to>
    <xdr:pic>
      <xdr:nvPicPr>
        <xdr:cNvPr id="3" name="Рисунок 2" descr="eshmat servis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"/>
          <a:ext cx="1571625" cy="1178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J5" sqref="J5"/>
    </sheetView>
  </sheetViews>
  <sheetFormatPr defaultRowHeight="14.4" x14ac:dyDescent="0.3"/>
  <cols>
    <col min="1" max="1" width="23.109375" customWidth="1"/>
    <col min="2" max="2" width="21.6640625" customWidth="1"/>
    <col min="3" max="3" width="18.6640625" customWidth="1"/>
    <col min="4" max="4" width="11" customWidth="1"/>
    <col min="5" max="5" width="33.109375" customWidth="1"/>
    <col min="9" max="9" width="24.33203125" bestFit="1" customWidth="1"/>
    <col min="10" max="10" width="7.5546875" customWidth="1"/>
  </cols>
  <sheetData>
    <row r="1" spans="1:10" ht="94.5" customHeight="1" x14ac:dyDescent="0.3">
      <c r="A1" s="1"/>
      <c r="B1" s="11" t="s">
        <v>13</v>
      </c>
      <c r="C1" s="11"/>
      <c r="D1" s="11"/>
      <c r="E1" s="11"/>
    </row>
    <row r="2" spans="1:10" ht="37.5" customHeight="1" x14ac:dyDescent="0.3">
      <c r="A2" s="5" t="s">
        <v>17</v>
      </c>
      <c r="B2" s="6" t="s">
        <v>18</v>
      </c>
      <c r="C2" s="6" t="s">
        <v>14</v>
      </c>
      <c r="D2" s="6" t="s">
        <v>12</v>
      </c>
      <c r="E2" s="6" t="s">
        <v>0</v>
      </c>
      <c r="I2" s="8" t="s">
        <v>19</v>
      </c>
      <c r="J2" s="8" t="s">
        <v>14</v>
      </c>
    </row>
    <row r="3" spans="1:10" x14ac:dyDescent="0.3">
      <c r="A3" s="2" t="s">
        <v>1</v>
      </c>
      <c r="B3" s="3">
        <v>389.4</v>
      </c>
      <c r="C3" s="10">
        <f>IF(B3&gt;400,$J$4,IF(B3&gt;200,$J$3,$J$5))</f>
        <v>0.1</v>
      </c>
      <c r="D3" s="9">
        <f>B3*C3</f>
        <v>38.94</v>
      </c>
      <c r="E3" s="2" t="str">
        <f>IF(B3&gt;400,"A`lo!",IF(B3&gt;200,"Yaxshi","Qoniqarli"))</f>
        <v>Yaxshi</v>
      </c>
      <c r="I3" s="4" t="s">
        <v>15</v>
      </c>
      <c r="J3" s="7">
        <v>0.1</v>
      </c>
    </row>
    <row r="4" spans="1:10" x14ac:dyDescent="0.3">
      <c r="A4" s="2" t="s">
        <v>2</v>
      </c>
      <c r="B4" s="3">
        <v>232.7</v>
      </c>
      <c r="C4" s="10">
        <f t="shared" ref="C4:C42" si="0">IF(B4&gt;400,$J$4,IF(B4&gt;200,$J$3,$J$5))</f>
        <v>0.1</v>
      </c>
      <c r="D4" s="9">
        <f t="shared" ref="D4:D42" si="1">B4*C4</f>
        <v>23.27</v>
      </c>
      <c r="E4" s="2" t="str">
        <f t="shared" ref="E4:E42" si="2">IF(B4&gt;400,"A`lo!",IF(B4&gt;200,"Yaxshi","Qoniqarli"))</f>
        <v>Yaxshi</v>
      </c>
      <c r="I4" s="4" t="s">
        <v>16</v>
      </c>
      <c r="J4" s="7">
        <v>0.15</v>
      </c>
    </row>
    <row r="5" spans="1:10" x14ac:dyDescent="0.3">
      <c r="A5" s="2" t="s">
        <v>3</v>
      </c>
      <c r="B5" s="3">
        <v>564.79999999999995</v>
      </c>
      <c r="C5" s="10">
        <f t="shared" si="0"/>
        <v>0.15</v>
      </c>
      <c r="D5" s="9">
        <f t="shared" si="1"/>
        <v>84.719999999999985</v>
      </c>
      <c r="E5" s="2" t="str">
        <f t="shared" si="2"/>
        <v>A`lo!</v>
      </c>
      <c r="I5" s="8"/>
      <c r="J5" s="7"/>
    </row>
    <row r="6" spans="1:10" x14ac:dyDescent="0.3">
      <c r="A6" s="2" t="s">
        <v>4</v>
      </c>
      <c r="B6" s="3">
        <v>129</v>
      </c>
      <c r="C6" s="10">
        <f>IF(B6&gt;400,$J$4,IF(B6&gt;200,$J$3,$J$5))</f>
        <v>0</v>
      </c>
      <c r="D6" s="9">
        <f t="shared" si="1"/>
        <v>0</v>
      </c>
      <c r="E6" s="2" t="str">
        <f t="shared" si="2"/>
        <v>Qoniqarli</v>
      </c>
      <c r="J6" s="7"/>
    </row>
    <row r="7" spans="1:10" x14ac:dyDescent="0.3">
      <c r="A7" s="2" t="s">
        <v>5</v>
      </c>
      <c r="B7" s="3">
        <v>546.78</v>
      </c>
      <c r="C7" s="10">
        <f t="shared" si="0"/>
        <v>0.15</v>
      </c>
      <c r="D7" s="9">
        <f t="shared" si="1"/>
        <v>82.016999999999996</v>
      </c>
      <c r="E7" s="2" t="str">
        <f t="shared" si="2"/>
        <v>A`lo!</v>
      </c>
    </row>
    <row r="8" spans="1:10" x14ac:dyDescent="0.3">
      <c r="A8" s="2" t="s">
        <v>6</v>
      </c>
      <c r="B8" s="3">
        <v>435.8</v>
      </c>
      <c r="C8" s="10">
        <f t="shared" si="0"/>
        <v>0.15</v>
      </c>
      <c r="D8" s="9">
        <f t="shared" si="1"/>
        <v>65.37</v>
      </c>
      <c r="E8" s="2" t="str">
        <f t="shared" si="2"/>
        <v>A`lo!</v>
      </c>
    </row>
    <row r="9" spans="1:10" x14ac:dyDescent="0.3">
      <c r="A9" s="2" t="s">
        <v>7</v>
      </c>
      <c r="B9" s="3">
        <v>435.7</v>
      </c>
      <c r="C9" s="10">
        <f t="shared" si="0"/>
        <v>0.15</v>
      </c>
      <c r="D9" s="9">
        <f t="shared" si="1"/>
        <v>65.35499999999999</v>
      </c>
      <c r="E9" s="2" t="str">
        <f t="shared" si="2"/>
        <v>A`lo!</v>
      </c>
    </row>
    <row r="10" spans="1:10" x14ac:dyDescent="0.3">
      <c r="A10" s="2" t="s">
        <v>8</v>
      </c>
      <c r="B10" s="3">
        <v>34.6</v>
      </c>
      <c r="C10" s="10">
        <f t="shared" si="0"/>
        <v>0</v>
      </c>
      <c r="D10" s="9">
        <f t="shared" si="1"/>
        <v>0</v>
      </c>
      <c r="E10" s="2" t="str">
        <f t="shared" si="2"/>
        <v>Qoniqarli</v>
      </c>
    </row>
    <row r="11" spans="1:10" x14ac:dyDescent="0.3">
      <c r="A11" s="2" t="s">
        <v>9</v>
      </c>
      <c r="B11" s="3">
        <v>3453.7</v>
      </c>
      <c r="C11" s="10">
        <f t="shared" si="0"/>
        <v>0.15</v>
      </c>
      <c r="D11" s="9">
        <f t="shared" si="1"/>
        <v>518.05499999999995</v>
      </c>
      <c r="E11" s="2" t="str">
        <f t="shared" si="2"/>
        <v>A`lo!</v>
      </c>
    </row>
    <row r="12" spans="1:10" x14ac:dyDescent="0.3">
      <c r="A12" s="2" t="s">
        <v>10</v>
      </c>
      <c r="B12" s="3">
        <v>9089.2000000000007</v>
      </c>
      <c r="C12" s="10">
        <f t="shared" si="0"/>
        <v>0.15</v>
      </c>
      <c r="D12" s="9">
        <f t="shared" si="1"/>
        <v>1363.38</v>
      </c>
      <c r="E12" s="2" t="str">
        <f t="shared" si="2"/>
        <v>A`lo!</v>
      </c>
    </row>
    <row r="13" spans="1:10" x14ac:dyDescent="0.3">
      <c r="A13" s="2" t="s">
        <v>11</v>
      </c>
      <c r="B13" s="3">
        <v>234</v>
      </c>
      <c r="C13" s="10">
        <f t="shared" si="0"/>
        <v>0.1</v>
      </c>
      <c r="D13" s="9">
        <f t="shared" si="1"/>
        <v>23.400000000000002</v>
      </c>
      <c r="E13" s="2" t="str">
        <f t="shared" si="2"/>
        <v>Yaxshi</v>
      </c>
    </row>
    <row r="14" spans="1:10" x14ac:dyDescent="0.3">
      <c r="A14" s="2" t="s">
        <v>1</v>
      </c>
      <c r="B14" s="3">
        <v>34324</v>
      </c>
      <c r="C14" s="10">
        <f t="shared" si="0"/>
        <v>0.15</v>
      </c>
      <c r="D14" s="9">
        <f t="shared" si="1"/>
        <v>5148.5999999999995</v>
      </c>
      <c r="E14" s="2" t="str">
        <f t="shared" si="2"/>
        <v>A`lo!</v>
      </c>
    </row>
    <row r="15" spans="1:10" x14ac:dyDescent="0.3">
      <c r="A15" s="2" t="s">
        <v>2</v>
      </c>
      <c r="B15" s="3">
        <v>242</v>
      </c>
      <c r="C15" s="10">
        <f t="shared" si="0"/>
        <v>0.1</v>
      </c>
      <c r="D15" s="9">
        <f t="shared" si="1"/>
        <v>24.200000000000003</v>
      </c>
      <c r="E15" s="2" t="str">
        <f t="shared" si="2"/>
        <v>Yaxshi</v>
      </c>
    </row>
    <row r="16" spans="1:10" x14ac:dyDescent="0.3">
      <c r="A16" s="2" t="s">
        <v>3</v>
      </c>
      <c r="B16" s="3">
        <v>123</v>
      </c>
      <c r="C16" s="10">
        <f t="shared" si="0"/>
        <v>0</v>
      </c>
      <c r="D16" s="9">
        <f t="shared" si="1"/>
        <v>0</v>
      </c>
      <c r="E16" s="2" t="str">
        <f t="shared" si="2"/>
        <v>Qoniqarli</v>
      </c>
    </row>
    <row r="17" spans="1:5" x14ac:dyDescent="0.3">
      <c r="A17" s="2" t="s">
        <v>4</v>
      </c>
      <c r="B17" s="3">
        <v>435</v>
      </c>
      <c r="C17" s="10">
        <f t="shared" si="0"/>
        <v>0.15</v>
      </c>
      <c r="D17" s="9">
        <f t="shared" si="1"/>
        <v>65.25</v>
      </c>
      <c r="E17" s="2" t="str">
        <f t="shared" si="2"/>
        <v>A`lo!</v>
      </c>
    </row>
    <row r="18" spans="1:5" x14ac:dyDescent="0.3">
      <c r="A18" s="2" t="s">
        <v>5</v>
      </c>
      <c r="B18" s="3">
        <v>65467.8</v>
      </c>
      <c r="C18" s="10">
        <f t="shared" si="0"/>
        <v>0.15</v>
      </c>
      <c r="D18" s="9">
        <f t="shared" si="1"/>
        <v>9820.17</v>
      </c>
      <c r="E18" s="2" t="str">
        <f t="shared" si="2"/>
        <v>A`lo!</v>
      </c>
    </row>
    <row r="19" spans="1:5" x14ac:dyDescent="0.3">
      <c r="A19" s="2" t="s">
        <v>6</v>
      </c>
      <c r="B19" s="3">
        <v>345.9</v>
      </c>
      <c r="C19" s="10">
        <f t="shared" si="0"/>
        <v>0.1</v>
      </c>
      <c r="D19" s="9">
        <f t="shared" si="1"/>
        <v>34.589999999999996</v>
      </c>
      <c r="E19" s="2" t="str">
        <f t="shared" si="2"/>
        <v>Yaxshi</v>
      </c>
    </row>
    <row r="20" spans="1:5" x14ac:dyDescent="0.3">
      <c r="A20" s="2" t="s">
        <v>7</v>
      </c>
      <c r="B20" s="3">
        <v>34534.6</v>
      </c>
      <c r="C20" s="10">
        <f t="shared" si="0"/>
        <v>0.15</v>
      </c>
      <c r="D20" s="9">
        <f t="shared" si="1"/>
        <v>5180.1899999999996</v>
      </c>
      <c r="E20" s="2" t="str">
        <f t="shared" si="2"/>
        <v>A`lo!</v>
      </c>
    </row>
    <row r="21" spans="1:5" x14ac:dyDescent="0.3">
      <c r="A21" s="2" t="s">
        <v>8</v>
      </c>
      <c r="B21" s="3">
        <v>100</v>
      </c>
      <c r="C21" s="10">
        <f t="shared" si="0"/>
        <v>0</v>
      </c>
      <c r="D21" s="9">
        <f t="shared" si="1"/>
        <v>0</v>
      </c>
      <c r="E21" s="2" t="str">
        <f t="shared" si="2"/>
        <v>Qoniqarli</v>
      </c>
    </row>
    <row r="22" spans="1:5" x14ac:dyDescent="0.3">
      <c r="A22" s="2" t="s">
        <v>9</v>
      </c>
      <c r="B22" s="3">
        <v>576.70000000000005</v>
      </c>
      <c r="C22" s="10">
        <f t="shared" si="0"/>
        <v>0.15</v>
      </c>
      <c r="D22" s="9">
        <f t="shared" si="1"/>
        <v>86.50500000000001</v>
      </c>
      <c r="E22" s="2" t="str">
        <f t="shared" si="2"/>
        <v>A`lo!</v>
      </c>
    </row>
    <row r="23" spans="1:5" x14ac:dyDescent="0.3">
      <c r="A23" s="2" t="s">
        <v>10</v>
      </c>
      <c r="B23" s="3">
        <v>389.4</v>
      </c>
      <c r="C23" s="10">
        <f t="shared" si="0"/>
        <v>0.1</v>
      </c>
      <c r="D23" s="9">
        <f t="shared" si="1"/>
        <v>38.94</v>
      </c>
      <c r="E23" s="2" t="str">
        <f t="shared" si="2"/>
        <v>Yaxshi</v>
      </c>
    </row>
    <row r="24" spans="1:5" x14ac:dyDescent="0.3">
      <c r="A24" s="2" t="s">
        <v>11</v>
      </c>
      <c r="B24" s="3">
        <v>232.7</v>
      </c>
      <c r="C24" s="10">
        <f t="shared" si="0"/>
        <v>0.1</v>
      </c>
      <c r="D24" s="9">
        <f t="shared" si="1"/>
        <v>23.27</v>
      </c>
      <c r="E24" s="2" t="str">
        <f t="shared" si="2"/>
        <v>Yaxshi</v>
      </c>
    </row>
    <row r="25" spans="1:5" x14ac:dyDescent="0.3">
      <c r="A25" s="2" t="s">
        <v>9</v>
      </c>
      <c r="B25" s="3">
        <v>564.79999999999995</v>
      </c>
      <c r="C25" s="10">
        <f t="shared" si="0"/>
        <v>0.15</v>
      </c>
      <c r="D25" s="9">
        <f t="shared" si="1"/>
        <v>84.719999999999985</v>
      </c>
      <c r="E25" s="2" t="str">
        <f t="shared" si="2"/>
        <v>A`lo!</v>
      </c>
    </row>
    <row r="26" spans="1:5" x14ac:dyDescent="0.3">
      <c r="A26" s="2" t="s">
        <v>10</v>
      </c>
      <c r="B26" s="3">
        <v>8765.6</v>
      </c>
      <c r="C26" s="10">
        <f t="shared" si="0"/>
        <v>0.15</v>
      </c>
      <c r="D26" s="9">
        <f t="shared" si="1"/>
        <v>1314.84</v>
      </c>
      <c r="E26" s="2" t="str">
        <f t="shared" si="2"/>
        <v>A`lo!</v>
      </c>
    </row>
    <row r="27" spans="1:5" x14ac:dyDescent="0.3">
      <c r="A27" s="2" t="s">
        <v>11</v>
      </c>
      <c r="B27" s="3">
        <v>546.78</v>
      </c>
      <c r="C27" s="10">
        <f t="shared" si="0"/>
        <v>0.15</v>
      </c>
      <c r="D27" s="9">
        <f t="shared" si="1"/>
        <v>82.016999999999996</v>
      </c>
      <c r="E27" s="2" t="str">
        <f t="shared" si="2"/>
        <v>A`lo!</v>
      </c>
    </row>
    <row r="28" spans="1:5" x14ac:dyDescent="0.3">
      <c r="A28" s="2" t="s">
        <v>1</v>
      </c>
      <c r="B28" s="3">
        <v>435.8</v>
      </c>
      <c r="C28" s="10">
        <f t="shared" si="0"/>
        <v>0.15</v>
      </c>
      <c r="D28" s="9">
        <f t="shared" si="1"/>
        <v>65.37</v>
      </c>
      <c r="E28" s="2" t="str">
        <f t="shared" si="2"/>
        <v>A`lo!</v>
      </c>
    </row>
    <row r="29" spans="1:5" x14ac:dyDescent="0.3">
      <c r="A29" s="2" t="s">
        <v>2</v>
      </c>
      <c r="B29" s="3">
        <v>435.7</v>
      </c>
      <c r="C29" s="10">
        <f t="shared" si="0"/>
        <v>0.15</v>
      </c>
      <c r="D29" s="9">
        <f t="shared" si="1"/>
        <v>65.35499999999999</v>
      </c>
      <c r="E29" s="2" t="str">
        <f t="shared" si="2"/>
        <v>A`lo!</v>
      </c>
    </row>
    <row r="30" spans="1:5" x14ac:dyDescent="0.3">
      <c r="A30" s="2" t="s">
        <v>3</v>
      </c>
      <c r="B30" s="3">
        <v>34.6</v>
      </c>
      <c r="C30" s="10">
        <f t="shared" si="0"/>
        <v>0</v>
      </c>
      <c r="D30" s="9">
        <f t="shared" si="1"/>
        <v>0</v>
      </c>
      <c r="E30" s="2" t="str">
        <f t="shared" si="2"/>
        <v>Qoniqarli</v>
      </c>
    </row>
    <row r="31" spans="1:5" x14ac:dyDescent="0.3">
      <c r="A31" s="2" t="s">
        <v>4</v>
      </c>
      <c r="B31" s="3">
        <v>3453.7</v>
      </c>
      <c r="C31" s="10">
        <f t="shared" si="0"/>
        <v>0.15</v>
      </c>
      <c r="D31" s="9">
        <f t="shared" si="1"/>
        <v>518.05499999999995</v>
      </c>
      <c r="E31" s="2" t="str">
        <f t="shared" si="2"/>
        <v>A`lo!</v>
      </c>
    </row>
    <row r="32" spans="1:5" x14ac:dyDescent="0.3">
      <c r="A32" s="2" t="s">
        <v>5</v>
      </c>
      <c r="B32" s="3">
        <v>9089.2000000000007</v>
      </c>
      <c r="C32" s="10">
        <f t="shared" si="0"/>
        <v>0.15</v>
      </c>
      <c r="D32" s="9">
        <f t="shared" si="1"/>
        <v>1363.38</v>
      </c>
      <c r="E32" s="2" t="str">
        <f t="shared" si="2"/>
        <v>A`lo!</v>
      </c>
    </row>
    <row r="33" spans="1:5" x14ac:dyDescent="0.3">
      <c r="A33" s="2" t="s">
        <v>6</v>
      </c>
      <c r="B33" s="3">
        <v>234</v>
      </c>
      <c r="C33" s="10">
        <f t="shared" si="0"/>
        <v>0.1</v>
      </c>
      <c r="D33" s="9">
        <f t="shared" si="1"/>
        <v>23.400000000000002</v>
      </c>
      <c r="E33" s="2" t="str">
        <f t="shared" si="2"/>
        <v>Yaxshi</v>
      </c>
    </row>
    <row r="34" spans="1:5" x14ac:dyDescent="0.3">
      <c r="A34" s="2" t="s">
        <v>7</v>
      </c>
      <c r="B34" s="3">
        <v>34324</v>
      </c>
      <c r="C34" s="10">
        <f t="shared" si="0"/>
        <v>0.15</v>
      </c>
      <c r="D34" s="9">
        <f t="shared" si="1"/>
        <v>5148.5999999999995</v>
      </c>
      <c r="E34" s="2" t="str">
        <f t="shared" si="2"/>
        <v>A`lo!</v>
      </c>
    </row>
    <row r="35" spans="1:5" x14ac:dyDescent="0.3">
      <c r="A35" s="2" t="s">
        <v>8</v>
      </c>
      <c r="B35" s="3">
        <v>242</v>
      </c>
      <c r="C35" s="10">
        <f t="shared" si="0"/>
        <v>0.1</v>
      </c>
      <c r="D35" s="9">
        <f t="shared" si="1"/>
        <v>24.200000000000003</v>
      </c>
      <c r="E35" s="2" t="str">
        <f t="shared" si="2"/>
        <v>Yaxshi</v>
      </c>
    </row>
    <row r="36" spans="1:5" x14ac:dyDescent="0.3">
      <c r="A36" s="2" t="s">
        <v>9</v>
      </c>
      <c r="B36" s="3">
        <v>123</v>
      </c>
      <c r="C36" s="10">
        <f>IF(B36&gt;400,$J$4,IF(B36&gt;200,$J$3,$J$5))</f>
        <v>0</v>
      </c>
      <c r="D36" s="9">
        <f t="shared" si="1"/>
        <v>0</v>
      </c>
      <c r="E36" s="2" t="str">
        <f t="shared" si="2"/>
        <v>Qoniqarli</v>
      </c>
    </row>
    <row r="37" spans="1:5" x14ac:dyDescent="0.3">
      <c r="A37" s="2" t="s">
        <v>10</v>
      </c>
      <c r="B37" s="3">
        <v>435</v>
      </c>
      <c r="C37" s="10">
        <f t="shared" si="0"/>
        <v>0.15</v>
      </c>
      <c r="D37" s="9">
        <f t="shared" si="1"/>
        <v>65.25</v>
      </c>
      <c r="E37" s="2" t="str">
        <f t="shared" si="2"/>
        <v>A`lo!</v>
      </c>
    </row>
    <row r="38" spans="1:5" x14ac:dyDescent="0.3">
      <c r="A38" s="2" t="s">
        <v>11</v>
      </c>
      <c r="B38" s="3">
        <v>65467.8</v>
      </c>
      <c r="C38" s="10">
        <f t="shared" si="0"/>
        <v>0.15</v>
      </c>
      <c r="D38" s="9">
        <f t="shared" si="1"/>
        <v>9820.17</v>
      </c>
      <c r="E38" s="2" t="str">
        <f t="shared" si="2"/>
        <v>A`lo!</v>
      </c>
    </row>
    <row r="39" spans="1:5" x14ac:dyDescent="0.3">
      <c r="A39" s="2" t="s">
        <v>8</v>
      </c>
      <c r="B39" s="3">
        <v>345.9</v>
      </c>
      <c r="C39" s="10">
        <f t="shared" si="0"/>
        <v>0.1</v>
      </c>
      <c r="D39" s="9">
        <f t="shared" si="1"/>
        <v>34.589999999999996</v>
      </c>
      <c r="E39" s="2" t="str">
        <f t="shared" si="2"/>
        <v>Yaxshi</v>
      </c>
    </row>
    <row r="40" spans="1:5" x14ac:dyDescent="0.3">
      <c r="A40" s="2" t="s">
        <v>9</v>
      </c>
      <c r="B40" s="3">
        <v>34534.6</v>
      </c>
      <c r="C40" s="10">
        <f t="shared" si="0"/>
        <v>0.15</v>
      </c>
      <c r="D40" s="9">
        <f t="shared" si="1"/>
        <v>5180.1899999999996</v>
      </c>
      <c r="E40" s="2" t="str">
        <f t="shared" si="2"/>
        <v>A`lo!</v>
      </c>
    </row>
    <row r="41" spans="1:5" x14ac:dyDescent="0.3">
      <c r="A41" s="2" t="s">
        <v>10</v>
      </c>
      <c r="B41" s="3">
        <v>345.3</v>
      </c>
      <c r="C41" s="10">
        <f t="shared" si="0"/>
        <v>0.1</v>
      </c>
      <c r="D41" s="9">
        <f t="shared" si="1"/>
        <v>34.53</v>
      </c>
      <c r="E41" s="2" t="str">
        <f t="shared" si="2"/>
        <v>Yaxshi</v>
      </c>
    </row>
    <row r="42" spans="1:5" x14ac:dyDescent="0.3">
      <c r="A42" s="2" t="s">
        <v>11</v>
      </c>
      <c r="B42" s="3">
        <v>576.70000000000005</v>
      </c>
      <c r="C42" s="10">
        <f t="shared" si="0"/>
        <v>0.15</v>
      </c>
      <c r="D42" s="9">
        <f t="shared" si="1"/>
        <v>86.50500000000001</v>
      </c>
      <c r="E42" s="2" t="str">
        <f t="shared" si="2"/>
        <v>A`lo!</v>
      </c>
    </row>
  </sheetData>
  <mergeCells count="1">
    <mergeCell ref="B1:E1"/>
  </mergeCells>
  <pageMargins left="0.7" right="0.7" top="0.75" bottom="0.75" header="0.3" footer="0.3"/>
  <pageSetup paperSize="9" orientation="portrait" horizontalDpi="30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lkfjgk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User</cp:lastModifiedBy>
  <dcterms:created xsi:type="dcterms:W3CDTF">2015-05-19T06:16:08Z</dcterms:created>
  <dcterms:modified xsi:type="dcterms:W3CDTF">2024-01-24T03:31:36Z</dcterms:modified>
</cp:coreProperties>
</file>