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P14" i="1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14"/>
  <c r="D14"/>
  <c r="E14"/>
  <c r="F14"/>
  <c r="G14"/>
  <c r="H14"/>
  <c r="I14"/>
  <c r="J14"/>
  <c r="K14"/>
  <c r="L14"/>
  <c r="M14"/>
  <c r="N14"/>
  <c r="P5"/>
  <c r="P6"/>
  <c r="P7"/>
  <c r="P8"/>
  <c r="P9"/>
  <c r="P10"/>
  <c r="P11"/>
  <c r="P12"/>
</calcChain>
</file>

<file path=xl/sharedStrings.xml><?xml version="1.0" encoding="utf-8"?>
<sst xmlns="http://schemas.openxmlformats.org/spreadsheetml/2006/main" count="29" uniqueCount="29">
  <si>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</si>
  <si>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</si>
  <si>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</si>
  <si>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</si>
  <si>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</si>
  <si>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</si>
  <si>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</si>
  <si>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</si>
  <si>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</si>
  <si>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</si>
  <si>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</si>
  <si>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</si>
  <si>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"Eshmat servis" MChJ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</si>
  <si>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</si>
  <si>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</si>
  <si>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</si>
  <si>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</si>
  <si>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</si>
  <si>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</si>
  <si>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</si>
  <si>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</si>
  <si>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</si>
  <si>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r>
      <t xml:space="preserve">Yil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</si>
  <si>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</si>
  <si>
    <t>O'rtacha qiymat</t>
  </si>
  <si>
    <t>Maksimum</t>
  </si>
  <si>
    <t>Minimum</t>
  </si>
  <si>
    <t>Sanash</t>
  </si>
  <si>
    <t>Oylar bo'yicha jami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</si>
</sst>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9" fontId="0" fillId="0" borderId="0" xfId="1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>
      <selection activeCell="R4" sqref="R4"/>
    </sheetView>
  </sheetViews>
  <sheetFormatPr defaultRowHeight="15"/>
  <cols>
    <col min="1" max="1" width="19.85546875" customWidth="1"/>
    <col min="2" max="2" width="19.42578125" bestFit="1" customWidth="1"/>
    <col min="3" max="14" width="9" customWidth="1"/>
    <col min="15" max="15" width="1.42578125" customWidth="1"/>
    <col min="16" max="16" width="11.140625" customWidth="1"/>
    <col min="17" max="17" width="1.28515625" customWidth="1"/>
  </cols>
  <sheetData>
    <row r="1" spans="1:18">
      <c r="A1" t="s">
        <v>12</v>
      </c>
    </row>
    <row r="2" spans="1:18">
      <c r="A2" t="s">
        <v>22</v>
      </c>
    </row>
    <row r="4" spans="1:18" ht="35.25" customHeight="1">
      <c r="B4" s="2" t="s">
        <v>23</v>
      </c>
      <c r="C4" s="2" t="s">
        <v>0</v>
      </c>
      <c r="D4" s="2" t="s">
        <v>1</v>
      </c>
      <c r="E4" s="2" t="s">
        <v>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P4" s="4" t="s">
        <v>3</v>
      </c>
      <c r="R4" s="10"/>
    </row>
    <row r="5" spans="1:18" ht="17.25" customHeight="1">
      <c r="B5" t="s">
        <v>4</v>
      </c>
      <c r="C5">
        <v>10.199999999999999</v>
      </c>
      <c r="D5">
        <v>29.3</v>
      </c>
      <c r="E5">
        <v>49.2</v>
      </c>
      <c r="F5">
        <v>10.199999999999999</v>
      </c>
      <c r="G5">
        <v>29.3</v>
      </c>
      <c r="H5">
        <v>49.2</v>
      </c>
      <c r="I5">
        <v>10.199999999999999</v>
      </c>
      <c r="J5">
        <v>29.3</v>
      </c>
      <c r="K5">
        <v>49.2</v>
      </c>
      <c r="L5">
        <v>10.199999999999999</v>
      </c>
      <c r="M5">
        <v>29.3</v>
      </c>
      <c r="N5">
        <v>49.2</v>
      </c>
      <c r="P5" s="7">
        <f>SUM(C5:N5)</f>
        <v>354.8</v>
      </c>
      <c r="Q5" s="8"/>
    </row>
    <row r="6" spans="1:18" ht="17.25" customHeight="1">
      <c r="B6" t="s">
        <v>5</v>
      </c>
      <c r="C6">
        <v>23</v>
      </c>
      <c r="D6">
        <v>19.399999999999999</v>
      </c>
      <c r="E6">
        <v>20.3</v>
      </c>
      <c r="F6">
        <v>23</v>
      </c>
      <c r="G6">
        <v>19.399999999999999</v>
      </c>
      <c r="H6">
        <v>20.3</v>
      </c>
      <c r="I6">
        <v>23</v>
      </c>
      <c r="J6">
        <v>19.399999999999999</v>
      </c>
      <c r="K6">
        <v>20.3</v>
      </c>
      <c r="L6">
        <v>23</v>
      </c>
      <c r="M6">
        <v>19.399999999999999</v>
      </c>
      <c r="N6">
        <v>20.3</v>
      </c>
      <c r="P6" s="7">
        <f>SUM(C6:N6)</f>
        <v>250.8</v>
      </c>
      <c r="Q6" s="8"/>
    </row>
    <row r="7" spans="1:18" ht="17.25" customHeight="1">
      <c r="B7" t="s">
        <v>6</v>
      </c>
      <c r="C7">
        <v>23</v>
      </c>
      <c r="D7">
        <v>49.2</v>
      </c>
      <c r="E7">
        <v>23.4</v>
      </c>
      <c r="F7">
        <v>23</v>
      </c>
      <c r="G7">
        <v>49.2</v>
      </c>
      <c r="H7">
        <v>23.4</v>
      </c>
      <c r="I7">
        <v>23</v>
      </c>
      <c r="J7">
        <v>49.2</v>
      </c>
      <c r="K7">
        <v>23.4</v>
      </c>
      <c r="L7">
        <v>23</v>
      </c>
      <c r="M7">
        <v>49.2</v>
      </c>
      <c r="N7">
        <v>23.4</v>
      </c>
      <c r="P7" s="7">
        <f>SUM(C7:N7)</f>
        <v>382.4</v>
      </c>
      <c r="Q7" s="8"/>
    </row>
    <row r="8" spans="1:18" ht="17.25" customHeight="1">
      <c r="B8" t="s">
        <v>7</v>
      </c>
      <c r="C8">
        <v>19.5</v>
      </c>
      <c r="D8">
        <v>20.3</v>
      </c>
      <c r="E8">
        <v>23</v>
      </c>
      <c r="F8">
        <v>19.5</v>
      </c>
      <c r="G8">
        <v>20.3</v>
      </c>
      <c r="H8">
        <v>23</v>
      </c>
      <c r="I8">
        <v>19.5</v>
      </c>
      <c r="J8">
        <v>20.3</v>
      </c>
      <c r="K8">
        <v>23.4</v>
      </c>
      <c r="L8">
        <v>19.5</v>
      </c>
      <c r="M8">
        <v>20.3</v>
      </c>
      <c r="N8">
        <v>23</v>
      </c>
      <c r="P8" s="7">
        <f>SUM(C8:N8)</f>
        <v>251.60000000000002</v>
      </c>
      <c r="Q8" s="8"/>
    </row>
    <row r="9" spans="1:18" ht="17.25" customHeight="1">
      <c r="B9" t="s">
        <v>8</v>
      </c>
      <c r="C9">
        <v>49.2</v>
      </c>
      <c r="D9">
        <v>23.4</v>
      </c>
      <c r="E9">
        <v>49.2</v>
      </c>
      <c r="F9">
        <v>23.4</v>
      </c>
      <c r="G9">
        <v>23.4</v>
      </c>
      <c r="H9">
        <v>49.2</v>
      </c>
      <c r="I9">
        <v>49.2</v>
      </c>
      <c r="J9">
        <v>23.4</v>
      </c>
      <c r="K9">
        <v>49.2</v>
      </c>
      <c r="L9">
        <v>49.2</v>
      </c>
      <c r="M9">
        <v>23.4</v>
      </c>
      <c r="N9">
        <v>49.2</v>
      </c>
      <c r="P9" s="7">
        <f>SUM(C9:N9)</f>
        <v>461.39999999999992</v>
      </c>
      <c r="Q9" s="8"/>
    </row>
    <row r="10" spans="1:18" ht="17.25" customHeight="1">
      <c r="B10" t="s">
        <v>9</v>
      </c>
      <c r="C10">
        <v>20.3</v>
      </c>
      <c r="D10">
        <v>56.6</v>
      </c>
      <c r="E10">
        <v>20.3</v>
      </c>
      <c r="F10">
        <v>20.3</v>
      </c>
      <c r="G10">
        <v>56.6</v>
      </c>
      <c r="H10">
        <v>20.3</v>
      </c>
      <c r="I10">
        <v>20.3</v>
      </c>
      <c r="J10">
        <v>56.6</v>
      </c>
      <c r="K10">
        <v>20.3</v>
      </c>
      <c r="L10">
        <v>20.3</v>
      </c>
      <c r="M10">
        <v>56.6</v>
      </c>
      <c r="N10">
        <v>20.3</v>
      </c>
      <c r="P10" s="7">
        <f>SUM(C10:N10)</f>
        <v>388.80000000000007</v>
      </c>
      <c r="Q10" s="8"/>
    </row>
    <row r="11" spans="1:18" ht="17.25" customHeight="1">
      <c r="B11" t="s">
        <v>10</v>
      </c>
      <c r="C11">
        <v>23.4</v>
      </c>
      <c r="D11">
        <v>23</v>
      </c>
      <c r="E11">
        <v>23.4</v>
      </c>
      <c r="F11">
        <v>23.4</v>
      </c>
      <c r="G11">
        <v>23</v>
      </c>
      <c r="H11">
        <v>23.4</v>
      </c>
      <c r="I11">
        <v>23.4</v>
      </c>
      <c r="J11">
        <v>23</v>
      </c>
      <c r="K11">
        <v>23.4</v>
      </c>
      <c r="L11">
        <v>23.4</v>
      </c>
      <c r="M11">
        <v>23</v>
      </c>
      <c r="N11">
        <v>23.4</v>
      </c>
      <c r="P11" s="7">
        <f>SUM(C11:N11)</f>
        <v>279.2</v>
      </c>
      <c r="Q11" s="8"/>
    </row>
    <row r="12" spans="1:18" ht="17.25" customHeight="1">
      <c r="B12" t="s">
        <v>11</v>
      </c>
      <c r="C12">
        <v>56.6</v>
      </c>
      <c r="D12">
        <v>32</v>
      </c>
      <c r="E12">
        <v>56.6</v>
      </c>
      <c r="F12">
        <v>56.6</v>
      </c>
      <c r="G12">
        <v>32</v>
      </c>
      <c r="H12">
        <v>56.6</v>
      </c>
      <c r="I12">
        <v>56.6</v>
      </c>
      <c r="J12">
        <v>32</v>
      </c>
      <c r="K12">
        <v>23.4</v>
      </c>
      <c r="L12">
        <v>56.6</v>
      </c>
      <c r="M12">
        <v>32</v>
      </c>
      <c r="N12">
        <v>56.6</v>
      </c>
      <c r="P12" s="7">
        <f>SUM(C12:N12)</f>
        <v>547.6</v>
      </c>
      <c r="Q12" s="8"/>
    </row>
    <row r="13" spans="1:18" ht="8.25" customHeight="1">
      <c r="P13" s="1"/>
      <c r="Q13" s="8"/>
    </row>
    <row r="14" spans="1:18" ht="24" customHeight="1">
      <c r="B14" s="9" t="s">
        <v>28</v>
      </c>
      <c r="C14" s="6">
        <f>SUM(C5:C12)</f>
        <v>225.20000000000002</v>
      </c>
      <c r="D14" s="6">
        <f>SUM(D5:D12)</f>
        <v>253.2</v>
      </c>
      <c r="E14" s="6">
        <f>SUM(E5:E12)</f>
        <v>265.40000000000003</v>
      </c>
      <c r="F14" s="6">
        <f>SUM(F5:F12)</f>
        <v>199.39999999999998</v>
      </c>
      <c r="G14" s="6">
        <f>SUM(G5:G12)</f>
        <v>253.2</v>
      </c>
      <c r="H14" s="6">
        <f>SUM(H5:H12)</f>
        <v>265.40000000000003</v>
      </c>
      <c r="I14" s="6">
        <f>SUM(I5:I12)</f>
        <v>225.20000000000002</v>
      </c>
      <c r="J14" s="6">
        <f>SUM(J5:J12)</f>
        <v>253.2</v>
      </c>
      <c r="K14" s="6">
        <f>SUM(K5:K12)</f>
        <v>232.60000000000002</v>
      </c>
      <c r="L14" s="6">
        <f>SUM(L5:L12)</f>
        <v>225.20000000000002</v>
      </c>
      <c r="M14" s="6">
        <f>SUM(M5:M12)</f>
        <v>253.2</v>
      </c>
      <c r="N14" s="6">
        <f>SUM(N5:N12)</f>
        <v>265.40000000000003</v>
      </c>
      <c r="O14" s="5"/>
      <c r="P14" s="3">
        <f>SUM(P5:P12)</f>
        <v>2916.5999999999995</v>
      </c>
      <c r="Q14" s="8"/>
    </row>
    <row r="15" spans="1:18">
      <c r="Q15" s="8"/>
    </row>
    <row r="16" spans="1:18">
      <c r="B16" t="s">
        <v>24</v>
      </c>
      <c r="C16">
        <f>AVERAGE(C5:C12)</f>
        <v>28.150000000000002</v>
      </c>
      <c r="D16">
        <f t="shared" ref="D16:N16" si="0">AVERAGE(D5:D12)</f>
        <v>31.65</v>
      </c>
      <c r="E16">
        <f t="shared" si="0"/>
        <v>33.175000000000004</v>
      </c>
      <c r="F16">
        <f t="shared" si="0"/>
        <v>24.924999999999997</v>
      </c>
      <c r="G16">
        <f t="shared" si="0"/>
        <v>31.65</v>
      </c>
      <c r="H16">
        <f t="shared" si="0"/>
        <v>33.175000000000004</v>
      </c>
      <c r="I16">
        <f t="shared" si="0"/>
        <v>28.150000000000002</v>
      </c>
      <c r="J16">
        <f t="shared" si="0"/>
        <v>31.65</v>
      </c>
      <c r="K16">
        <f t="shared" si="0"/>
        <v>29.075000000000003</v>
      </c>
      <c r="L16">
        <f t="shared" si="0"/>
        <v>28.150000000000002</v>
      </c>
      <c r="M16">
        <f t="shared" si="0"/>
        <v>31.65</v>
      </c>
      <c r="N16">
        <f t="shared" si="0"/>
        <v>33.175000000000004</v>
      </c>
      <c r="Q16" s="8"/>
    </row>
    <row r="17" spans="2:14">
      <c r="B17" t="s">
        <v>25</v>
      </c>
      <c r="C17">
        <f>MAX(C5:C12)</f>
        <v>56.6</v>
      </c>
      <c r="D17">
        <f t="shared" ref="D17:N17" si="1">MAX(D5:D12)</f>
        <v>56.6</v>
      </c>
      <c r="E17">
        <f t="shared" si="1"/>
        <v>56.6</v>
      </c>
      <c r="F17">
        <f t="shared" si="1"/>
        <v>56.6</v>
      </c>
      <c r="G17">
        <f t="shared" si="1"/>
        <v>56.6</v>
      </c>
      <c r="H17">
        <f t="shared" si="1"/>
        <v>56.6</v>
      </c>
      <c r="I17">
        <f t="shared" si="1"/>
        <v>56.6</v>
      </c>
      <c r="J17">
        <f t="shared" si="1"/>
        <v>56.6</v>
      </c>
      <c r="K17">
        <f t="shared" si="1"/>
        <v>49.2</v>
      </c>
      <c r="L17">
        <f t="shared" si="1"/>
        <v>56.6</v>
      </c>
      <c r="M17">
        <f t="shared" si="1"/>
        <v>56.6</v>
      </c>
      <c r="N17">
        <f t="shared" si="1"/>
        <v>56.6</v>
      </c>
    </row>
    <row r="18" spans="2:14">
      <c r="B18" t="s">
        <v>26</v>
      </c>
      <c r="C18">
        <f>MIN(C5:C12)</f>
        <v>10.199999999999999</v>
      </c>
      <c r="D18">
        <f t="shared" ref="D18:N18" si="2">MIN(D5:D12)</f>
        <v>19.399999999999999</v>
      </c>
      <c r="E18">
        <f t="shared" si="2"/>
        <v>20.3</v>
      </c>
      <c r="F18">
        <f t="shared" si="2"/>
        <v>10.199999999999999</v>
      </c>
      <c r="G18">
        <f t="shared" si="2"/>
        <v>19.399999999999999</v>
      </c>
      <c r="H18">
        <f t="shared" si="2"/>
        <v>20.3</v>
      </c>
      <c r="I18">
        <f t="shared" si="2"/>
        <v>10.199999999999999</v>
      </c>
      <c r="J18">
        <f t="shared" si="2"/>
        <v>19.399999999999999</v>
      </c>
      <c r="K18">
        <f t="shared" si="2"/>
        <v>20.3</v>
      </c>
      <c r="L18">
        <f t="shared" si="2"/>
        <v>10.199999999999999</v>
      </c>
      <c r="M18">
        <f t="shared" si="2"/>
        <v>19.399999999999999</v>
      </c>
      <c r="N18">
        <f t="shared" si="2"/>
        <v>20.3</v>
      </c>
    </row>
    <row r="19" spans="2:14">
      <c r="B19" t="s">
        <v>27</v>
      </c>
      <c r="C19">
        <f>COUNT(C5:C12)</f>
        <v>8</v>
      </c>
      <c r="D19">
        <f t="shared" ref="D19:N19" si="3">COUNT(D5:D12)</f>
        <v>8</v>
      </c>
      <c r="E19">
        <f t="shared" si="3"/>
        <v>8</v>
      </c>
      <c r="F19">
        <f t="shared" si="3"/>
        <v>8</v>
      </c>
      <c r="G19">
        <f t="shared" si="3"/>
        <v>8</v>
      </c>
      <c r="H19">
        <f t="shared" si="3"/>
        <v>8</v>
      </c>
      <c r="I19">
        <f t="shared" si="3"/>
        <v>8</v>
      </c>
      <c r="J19">
        <f t="shared" si="3"/>
        <v>8</v>
      </c>
      <c r="K19">
        <f t="shared" si="3"/>
        <v>8</v>
      </c>
      <c r="L19">
        <f t="shared" si="3"/>
        <v>8</v>
      </c>
      <c r="M19">
        <f t="shared" si="3"/>
        <v>8</v>
      </c>
      <c r="N19">
        <f t="shared" si="3"/>
        <v>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2015-05-19T03:37:15Z</dcterms:modified>
</cp:coreProperties>
</file>