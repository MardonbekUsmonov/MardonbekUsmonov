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720" yWindow="645" windowWidth="19575" windowHeight="7365"/>
  </bookViews>
  <sheets>
    <sheet name="Xatolarni topish" sheetId="5" r:id="rId1"/>
  </sheets>
  <calcPr calcId="124519"/>
  <customWorkbookViews>
    <customWorkbookView name="Sherzod Qodirov - Личное представление" guid="{91F39087-6AFD-4713-BFF9-E2DC806C8997}" mergeInterval="0" personalView="1" maximized="1" xWindow="1" yWindow="1" windowWidth="1366" windowHeight="538" activeSheetId="1"/>
  </customWorkbookViews>
</workbook>
</file>

<file path=xl/calcChain.xml><?xml version="1.0" encoding="utf-8"?>
<calcChain xmlns="http://schemas.openxmlformats.org/spreadsheetml/2006/main">
  <c r="AB7" i="5"/>
  <c r="AB6"/>
  <c r="AB12"/>
  <c r="AB13"/>
  <c r="AB14"/>
  <c r="AB25"/>
  <c r="AB26"/>
  <c r="AB27"/>
  <c r="AB38"/>
  <c r="AB39"/>
  <c r="AB40"/>
  <c r="AB51"/>
  <c r="AB52"/>
  <c r="AB53"/>
  <c r="J43"/>
  <c r="J44"/>
  <c r="L44" s="1"/>
  <c r="D16"/>
  <c r="E16" s="1"/>
  <c r="B16"/>
  <c r="D15"/>
  <c r="F15" s="1"/>
  <c r="B15"/>
  <c r="D14"/>
  <c r="F14" s="1"/>
  <c r="B14"/>
  <c r="D13"/>
  <c r="F13" s="1"/>
  <c r="B13"/>
  <c r="D12"/>
  <c r="F12" s="1"/>
  <c r="B12"/>
  <c r="D11"/>
  <c r="F11" s="1"/>
  <c r="B11"/>
  <c r="D10"/>
  <c r="F10" s="1"/>
  <c r="D9"/>
  <c r="F9" s="1"/>
  <c r="D8"/>
  <c r="F8" s="1"/>
  <c r="D7"/>
  <c r="F7" s="1"/>
  <c r="B7"/>
  <c r="D6"/>
  <c r="F6" s="1"/>
  <c r="B6"/>
  <c r="D5"/>
  <c r="F5" s="1"/>
  <c r="B5"/>
  <c r="D4"/>
  <c r="F4" s="1"/>
  <c r="B4"/>
  <c r="D3"/>
  <c r="F3" s="1"/>
  <c r="B3"/>
  <c r="D2"/>
  <c r="F2" s="1"/>
  <c r="B2"/>
  <c r="AD53"/>
  <c r="T53"/>
  <c r="V53" s="1"/>
  <c r="AD52"/>
  <c r="T52"/>
  <c r="V52" s="1"/>
  <c r="AD51"/>
  <c r="T51"/>
  <c r="V51" s="1"/>
  <c r="AJ50"/>
  <c r="AG50"/>
  <c r="Z50"/>
  <c r="AB50" s="1"/>
  <c r="AD50" s="1"/>
  <c r="X50"/>
  <c r="T50"/>
  <c r="V50" s="1"/>
  <c r="AJ49"/>
  <c r="AG49"/>
  <c r="Z49"/>
  <c r="AB49" s="1"/>
  <c r="AD49" s="1"/>
  <c r="X49"/>
  <c r="T49"/>
  <c r="V49" s="1"/>
  <c r="AJ48"/>
  <c r="AG48"/>
  <c r="Z48"/>
  <c r="AB48" s="1"/>
  <c r="AD48" s="1"/>
  <c r="X48"/>
  <c r="T48"/>
  <c r="V48" s="1"/>
  <c r="AJ47"/>
  <c r="AG47"/>
  <c r="Z47"/>
  <c r="AB47" s="1"/>
  <c r="AD47" s="1"/>
  <c r="X47"/>
  <c r="T47"/>
  <c r="V47" s="1"/>
  <c r="AJ46"/>
  <c r="AG46"/>
  <c r="Z46"/>
  <c r="AB46" s="1"/>
  <c r="AD46" s="1"/>
  <c r="X46"/>
  <c r="T46"/>
  <c r="V46" s="1"/>
  <c r="AJ45"/>
  <c r="AG45"/>
  <c r="Z45"/>
  <c r="AB45" s="1"/>
  <c r="AD45" s="1"/>
  <c r="X45"/>
  <c r="T45"/>
  <c r="V45" s="1"/>
  <c r="AJ44"/>
  <c r="AG44"/>
  <c r="Z44"/>
  <c r="AB44" s="1"/>
  <c r="AD44" s="1"/>
  <c r="X44"/>
  <c r="T44"/>
  <c r="V44" s="1"/>
  <c r="AJ43"/>
  <c r="AG43"/>
  <c r="Z43"/>
  <c r="AB43" s="1"/>
  <c r="AD43" s="1"/>
  <c r="X43"/>
  <c r="T43"/>
  <c r="V43" s="1"/>
  <c r="AJ42"/>
  <c r="AG42"/>
  <c r="Z42"/>
  <c r="AB42" s="1"/>
  <c r="AD42" s="1"/>
  <c r="X42"/>
  <c r="T42"/>
  <c r="V42" s="1"/>
  <c r="AJ41"/>
  <c r="AG41"/>
  <c r="Z41"/>
  <c r="AB41" s="1"/>
  <c r="AD41" s="1"/>
  <c r="X41"/>
  <c r="T41"/>
  <c r="V41" s="1"/>
  <c r="AD40"/>
  <c r="T40"/>
  <c r="V40" s="1"/>
  <c r="AD39"/>
  <c r="T39"/>
  <c r="V39" s="1"/>
  <c r="AD38"/>
  <c r="T38"/>
  <c r="V38" s="1"/>
  <c r="AJ37"/>
  <c r="AG37"/>
  <c r="Z37"/>
  <c r="AB37" s="1"/>
  <c r="AD37" s="1"/>
  <c r="X37"/>
  <c r="T37"/>
  <c r="V37" s="1"/>
  <c r="AJ36"/>
  <c r="AG36"/>
  <c r="Z36"/>
  <c r="AB36" s="1"/>
  <c r="AD36" s="1"/>
  <c r="X36"/>
  <c r="T36"/>
  <c r="V36" s="1"/>
  <c r="AJ35"/>
  <c r="AG35"/>
  <c r="Z35"/>
  <c r="AB35" s="1"/>
  <c r="AD35" s="1"/>
  <c r="X35"/>
  <c r="T35"/>
  <c r="V35" s="1"/>
  <c r="AJ34"/>
  <c r="AG34"/>
  <c r="Z34"/>
  <c r="AB34" s="1"/>
  <c r="AD34" s="1"/>
  <c r="X34"/>
  <c r="T34"/>
  <c r="V34" s="1"/>
  <c r="AJ33"/>
  <c r="AG33"/>
  <c r="Z33"/>
  <c r="AB33" s="1"/>
  <c r="AD33" s="1"/>
  <c r="X33"/>
  <c r="T33"/>
  <c r="V33" s="1"/>
  <c r="AJ32"/>
  <c r="AG32"/>
  <c r="Z32"/>
  <c r="AB32" s="1"/>
  <c r="AD32" s="1"/>
  <c r="X32"/>
  <c r="T32"/>
  <c r="V32" s="1"/>
  <c r="AJ31"/>
  <c r="AG31"/>
  <c r="Z31"/>
  <c r="AB31" s="1"/>
  <c r="AD31" s="1"/>
  <c r="X31"/>
  <c r="T31"/>
  <c r="V31" s="1"/>
  <c r="AJ30"/>
  <c r="AG30"/>
  <c r="Z30"/>
  <c r="AB30" s="1"/>
  <c r="AD30" s="1"/>
  <c r="X30"/>
  <c r="T30"/>
  <c r="V30" s="1"/>
  <c r="AJ29"/>
  <c r="AG29"/>
  <c r="Z29"/>
  <c r="AB29" s="1"/>
  <c r="AD29" s="1"/>
  <c r="X29"/>
  <c r="T29"/>
  <c r="V29" s="1"/>
  <c r="AJ28"/>
  <c r="AG28"/>
  <c r="Z28"/>
  <c r="AB28" s="1"/>
  <c r="AD28" s="1"/>
  <c r="X28"/>
  <c r="T28"/>
  <c r="V28" s="1"/>
  <c r="J53"/>
  <c r="L53" s="1"/>
  <c r="B53"/>
  <c r="D53" s="1"/>
  <c r="J52"/>
  <c r="L52" s="1"/>
  <c r="B52"/>
  <c r="D52" s="1"/>
  <c r="J51"/>
  <c r="L51" s="1"/>
  <c r="B51"/>
  <c r="D51" s="1"/>
  <c r="R50"/>
  <c r="O50"/>
  <c r="J50"/>
  <c r="L50" s="1"/>
  <c r="H50"/>
  <c r="F50"/>
  <c r="B50"/>
  <c r="D50" s="1"/>
  <c r="R49"/>
  <c r="O49"/>
  <c r="J49"/>
  <c r="K49" s="1"/>
  <c r="H49"/>
  <c r="F49"/>
  <c r="B49"/>
  <c r="D49" s="1"/>
  <c r="R48"/>
  <c r="O48"/>
  <c r="J48"/>
  <c r="L48" s="1"/>
  <c r="H48"/>
  <c r="F48"/>
  <c r="B48"/>
  <c r="D48" s="1"/>
  <c r="R47"/>
  <c r="O47"/>
  <c r="J47"/>
  <c r="L47" s="1"/>
  <c r="H47"/>
  <c r="F47"/>
  <c r="B47"/>
  <c r="D47" s="1"/>
  <c r="R46"/>
  <c r="O46"/>
  <c r="J46"/>
  <c r="L46" s="1"/>
  <c r="H46"/>
  <c r="F46"/>
  <c r="B46"/>
  <c r="D46" s="1"/>
  <c r="R45"/>
  <c r="O45"/>
  <c r="J45"/>
  <c r="L45" s="1"/>
  <c r="H45"/>
  <c r="F45"/>
  <c r="B45"/>
  <c r="D45" s="1"/>
  <c r="R44"/>
  <c r="O44"/>
  <c r="H44"/>
  <c r="F44"/>
  <c r="B44"/>
  <c r="D44" s="1"/>
  <c r="R43"/>
  <c r="O43"/>
  <c r="L43"/>
  <c r="H43"/>
  <c r="F43"/>
  <c r="B43"/>
  <c r="D43" s="1"/>
  <c r="R42"/>
  <c r="O42"/>
  <c r="J42"/>
  <c r="L42" s="1"/>
  <c r="H42"/>
  <c r="F42"/>
  <c r="B42"/>
  <c r="D42" s="1"/>
  <c r="R41"/>
  <c r="O41"/>
  <c r="J41"/>
  <c r="L41" s="1"/>
  <c r="H41"/>
  <c r="F41"/>
  <c r="B41"/>
  <c r="D41" s="1"/>
  <c r="J40"/>
  <c r="L40" s="1"/>
  <c r="B40"/>
  <c r="D40" s="1"/>
  <c r="J39"/>
  <c r="L39" s="1"/>
  <c r="B39"/>
  <c r="D39" s="1"/>
  <c r="J38"/>
  <c r="L38" s="1"/>
  <c r="B38"/>
  <c r="D38" s="1"/>
  <c r="R37"/>
  <c r="O37"/>
  <c r="J37"/>
  <c r="L37" s="1"/>
  <c r="H37"/>
  <c r="F37"/>
  <c r="B37"/>
  <c r="D37" s="1"/>
  <c r="R36"/>
  <c r="O36"/>
  <c r="J36"/>
  <c r="L36" s="1"/>
  <c r="H36"/>
  <c r="F36"/>
  <c r="B36"/>
  <c r="D36" s="1"/>
  <c r="R35"/>
  <c r="O35"/>
  <c r="J35"/>
  <c r="L35" s="1"/>
  <c r="H35"/>
  <c r="F35"/>
  <c r="B35"/>
  <c r="D35" s="1"/>
  <c r="R34"/>
  <c r="O34"/>
  <c r="J34"/>
  <c r="L34" s="1"/>
  <c r="H34"/>
  <c r="F34"/>
  <c r="B34"/>
  <c r="D34" s="1"/>
  <c r="R33"/>
  <c r="O33"/>
  <c r="J33"/>
  <c r="L33" s="1"/>
  <c r="H33"/>
  <c r="F33"/>
  <c r="B33"/>
  <c r="D33" s="1"/>
  <c r="R32"/>
  <c r="O32"/>
  <c r="J32"/>
  <c r="L32" s="1"/>
  <c r="H32"/>
  <c r="F32"/>
  <c r="B32"/>
  <c r="D32" s="1"/>
  <c r="R31"/>
  <c r="O31"/>
  <c r="J31"/>
  <c r="H31"/>
  <c r="F31"/>
  <c r="B31"/>
  <c r="D31" s="1"/>
  <c r="R30"/>
  <c r="O30"/>
  <c r="J30"/>
  <c r="L30" s="1"/>
  <c r="H30"/>
  <c r="F30"/>
  <c r="B30"/>
  <c r="D30" s="1"/>
  <c r="R29"/>
  <c r="O29"/>
  <c r="J29"/>
  <c r="L29" s="1"/>
  <c r="H29"/>
  <c r="F29"/>
  <c r="B29"/>
  <c r="D29" s="1"/>
  <c r="R28"/>
  <c r="O28"/>
  <c r="J28"/>
  <c r="L28" s="1"/>
  <c r="H28"/>
  <c r="F28"/>
  <c r="B28"/>
  <c r="D28" s="1"/>
  <c r="AD27"/>
  <c r="T27"/>
  <c r="V27" s="1"/>
  <c r="AD26"/>
  <c r="T26"/>
  <c r="V26" s="1"/>
  <c r="AD25"/>
  <c r="T25"/>
  <c r="V25" s="1"/>
  <c r="AJ24"/>
  <c r="AG24"/>
  <c r="Z24"/>
  <c r="AB24" s="1"/>
  <c r="AD24" s="1"/>
  <c r="X24"/>
  <c r="T24"/>
  <c r="V24" s="1"/>
  <c r="AJ23"/>
  <c r="AG23"/>
  <c r="Z23"/>
  <c r="AB23" s="1"/>
  <c r="AD23" s="1"/>
  <c r="X23"/>
  <c r="T23"/>
  <c r="V23" s="1"/>
  <c r="AJ22"/>
  <c r="AG22"/>
  <c r="Z22"/>
  <c r="AB22" s="1"/>
  <c r="AD22" s="1"/>
  <c r="X22"/>
  <c r="T22"/>
  <c r="V22" s="1"/>
  <c r="AJ21"/>
  <c r="AG21"/>
  <c r="Z21"/>
  <c r="AB21" s="1"/>
  <c r="AD21" s="1"/>
  <c r="X21"/>
  <c r="T21"/>
  <c r="V21" s="1"/>
  <c r="AJ20"/>
  <c r="AG20"/>
  <c r="Z20"/>
  <c r="AB20" s="1"/>
  <c r="AD20" s="1"/>
  <c r="X20"/>
  <c r="T20"/>
  <c r="V20" s="1"/>
  <c r="AJ19"/>
  <c r="AG19"/>
  <c r="Z19"/>
  <c r="AB19" s="1"/>
  <c r="AD19" s="1"/>
  <c r="X19"/>
  <c r="T19"/>
  <c r="V19" s="1"/>
  <c r="AJ18"/>
  <c r="AG18"/>
  <c r="Z18"/>
  <c r="AB18" s="1"/>
  <c r="AD18" s="1"/>
  <c r="X18"/>
  <c r="T18"/>
  <c r="V18" s="1"/>
  <c r="AJ17"/>
  <c r="AG17"/>
  <c r="Z17"/>
  <c r="AB17" s="1"/>
  <c r="AD17" s="1"/>
  <c r="X17"/>
  <c r="T17"/>
  <c r="V17" s="1"/>
  <c r="AJ16"/>
  <c r="AG16"/>
  <c r="Z16"/>
  <c r="AB16" s="1"/>
  <c r="AD16" s="1"/>
  <c r="X16"/>
  <c r="T16"/>
  <c r="V16" s="1"/>
  <c r="AJ15"/>
  <c r="AG15"/>
  <c r="Z15"/>
  <c r="AB15" s="1"/>
  <c r="AD15" s="1"/>
  <c r="X15"/>
  <c r="T15"/>
  <c r="V15" s="1"/>
  <c r="AD14"/>
  <c r="T14"/>
  <c r="V14" s="1"/>
  <c r="AD13"/>
  <c r="T13"/>
  <c r="V13" s="1"/>
  <c r="AD12"/>
  <c r="T12"/>
  <c r="V12" s="1"/>
  <c r="AJ11"/>
  <c r="AG11"/>
  <c r="Z11"/>
  <c r="AB11" s="1"/>
  <c r="AD11" s="1"/>
  <c r="X11"/>
  <c r="T11"/>
  <c r="V11" s="1"/>
  <c r="AJ10"/>
  <c r="AG10"/>
  <c r="Z10"/>
  <c r="AB10" s="1"/>
  <c r="AD10" s="1"/>
  <c r="X10"/>
  <c r="T10"/>
  <c r="V10" s="1"/>
  <c r="AJ9"/>
  <c r="AG9"/>
  <c r="Z9"/>
  <c r="AB9" s="1"/>
  <c r="AD9" s="1"/>
  <c r="X9"/>
  <c r="T9"/>
  <c r="V9" s="1"/>
  <c r="AJ8"/>
  <c r="AG8"/>
  <c r="Z8"/>
  <c r="AB8" s="1"/>
  <c r="AD8" s="1"/>
  <c r="X8"/>
  <c r="T8"/>
  <c r="V8" s="1"/>
  <c r="AJ7"/>
  <c r="AG7"/>
  <c r="Z7"/>
  <c r="AD7" s="1"/>
  <c r="X7"/>
  <c r="T7"/>
  <c r="V7" s="1"/>
  <c r="AJ6"/>
  <c r="AG6"/>
  <c r="Z6"/>
  <c r="AD6" s="1"/>
  <c r="X6"/>
  <c r="T6"/>
  <c r="V6" s="1"/>
  <c r="AJ5"/>
  <c r="AG5"/>
  <c r="AB5"/>
  <c r="AD5" s="1"/>
  <c r="Z5"/>
  <c r="X5"/>
  <c r="T5"/>
  <c r="V5" s="1"/>
  <c r="AJ4"/>
  <c r="AG4"/>
  <c r="AB4"/>
  <c r="AD4" s="1"/>
  <c r="Z4"/>
  <c r="X4"/>
  <c r="T4"/>
  <c r="V4" s="1"/>
  <c r="AJ3"/>
  <c r="AG3"/>
  <c r="AB3"/>
  <c r="AD3" s="1"/>
  <c r="Z3"/>
  <c r="X3"/>
  <c r="T3"/>
  <c r="V3" s="1"/>
  <c r="AJ2"/>
  <c r="AG2"/>
  <c r="AB2"/>
  <c r="AD2" s="1"/>
  <c r="Z2"/>
  <c r="X2"/>
  <c r="T2"/>
  <c r="V2" s="1"/>
  <c r="J27"/>
  <c r="K27" s="1"/>
  <c r="J26"/>
  <c r="L26" s="1"/>
  <c r="J25"/>
  <c r="K25" s="1"/>
  <c r="R24"/>
  <c r="O24"/>
  <c r="J24"/>
  <c r="L24" s="1"/>
  <c r="R23"/>
  <c r="O23"/>
  <c r="J23"/>
  <c r="K23" s="1"/>
  <c r="R22"/>
  <c r="O22"/>
  <c r="J22"/>
  <c r="L22" s="1"/>
  <c r="R21"/>
  <c r="O21"/>
  <c r="J21"/>
  <c r="K21" s="1"/>
  <c r="R20"/>
  <c r="O20"/>
  <c r="J20"/>
  <c r="L20" s="1"/>
  <c r="R19"/>
  <c r="O19"/>
  <c r="J19"/>
  <c r="K19" s="1"/>
  <c r="R18"/>
  <c r="O18"/>
  <c r="J18"/>
  <c r="L18" s="1"/>
  <c r="R17"/>
  <c r="O17"/>
  <c r="J17"/>
  <c r="K17" s="1"/>
  <c r="R16"/>
  <c r="O16"/>
  <c r="J16"/>
  <c r="L16" s="1"/>
  <c r="R15"/>
  <c r="O15"/>
  <c r="J15"/>
  <c r="K15" s="1"/>
  <c r="J14"/>
  <c r="L14" s="1"/>
  <c r="J13"/>
  <c r="L13" s="1"/>
  <c r="J12"/>
  <c r="L12" s="1"/>
  <c r="R11"/>
  <c r="O11"/>
  <c r="J11"/>
  <c r="L11" s="1"/>
  <c r="R10"/>
  <c r="O10"/>
  <c r="J10"/>
  <c r="L10" s="1"/>
  <c r="R9"/>
  <c r="O9"/>
  <c r="J9"/>
  <c r="L9" s="1"/>
  <c r="R8"/>
  <c r="O8"/>
  <c r="J8"/>
  <c r="L8" s="1"/>
  <c r="R7"/>
  <c r="O7"/>
  <c r="J7"/>
  <c r="L7" s="1"/>
  <c r="R6"/>
  <c r="O6"/>
  <c r="J6"/>
  <c r="L6" s="1"/>
  <c r="R5"/>
  <c r="O5"/>
  <c r="J5"/>
  <c r="L5" s="1"/>
  <c r="R4"/>
  <c r="O4"/>
  <c r="J4"/>
  <c r="L4" s="1"/>
  <c r="R3"/>
  <c r="O3"/>
  <c r="J3"/>
  <c r="L3" s="1"/>
  <c r="R2"/>
  <c r="O2"/>
  <c r="J2"/>
  <c r="L2" s="1"/>
  <c r="B27"/>
  <c r="C27" s="1"/>
  <c r="B26"/>
  <c r="D26" s="1"/>
  <c r="B25"/>
  <c r="C25" s="1"/>
  <c r="H24"/>
  <c r="F24"/>
  <c r="B24"/>
  <c r="D24" s="1"/>
  <c r="H23"/>
  <c r="F23"/>
  <c r="B23"/>
  <c r="C23" s="1"/>
  <c r="H22"/>
  <c r="F22"/>
  <c r="B22"/>
  <c r="D22" s="1"/>
  <c r="H21"/>
  <c r="F21"/>
  <c r="B21"/>
  <c r="C21" s="1"/>
  <c r="H20"/>
  <c r="F20"/>
  <c r="B20"/>
  <c r="D20" s="1"/>
  <c r="H19"/>
  <c r="F19"/>
  <c r="B19"/>
  <c r="C19" s="1"/>
  <c r="H18"/>
  <c r="F18"/>
  <c r="B18"/>
  <c r="D18" s="1"/>
  <c r="H17"/>
  <c r="F17"/>
  <c r="B17"/>
  <c r="C17" s="1"/>
  <c r="H16"/>
  <c r="H15"/>
  <c r="H11"/>
  <c r="H10"/>
  <c r="H9"/>
  <c r="H8"/>
  <c r="H7"/>
  <c r="H6"/>
  <c r="H5"/>
  <c r="H4"/>
  <c r="H3"/>
  <c r="H2"/>
  <c r="C47"/>
  <c r="L31"/>
  <c r="E10" l="1"/>
  <c r="AC6"/>
  <c r="AC16"/>
  <c r="AC4"/>
  <c r="AC14"/>
  <c r="AC2"/>
  <c r="AC8"/>
  <c r="AC10"/>
  <c r="AC12"/>
  <c r="AC18"/>
  <c r="AC20"/>
  <c r="AC22"/>
  <c r="AC24"/>
  <c r="AC26"/>
  <c r="K28"/>
  <c r="K30"/>
  <c r="K32"/>
  <c r="K34"/>
  <c r="K36"/>
  <c r="K38"/>
  <c r="K40"/>
  <c r="K42"/>
  <c r="K44"/>
  <c r="K46"/>
  <c r="K48"/>
  <c r="K50"/>
  <c r="K52"/>
  <c r="AC28"/>
  <c r="AC30"/>
  <c r="AC32"/>
  <c r="AC34"/>
  <c r="AC36"/>
  <c r="AC38"/>
  <c r="AC40"/>
  <c r="AC42"/>
  <c r="AC44"/>
  <c r="AC46"/>
  <c r="AC48"/>
  <c r="AC50"/>
  <c r="AC52"/>
  <c r="L49"/>
  <c r="E8"/>
  <c r="E11"/>
  <c r="E13"/>
  <c r="E15"/>
  <c r="AC3"/>
  <c r="AC5"/>
  <c r="AC7"/>
  <c r="AC9"/>
  <c r="AC11"/>
  <c r="AC13"/>
  <c r="AC15"/>
  <c r="AC17"/>
  <c r="AC19"/>
  <c r="AC21"/>
  <c r="AC23"/>
  <c r="AC25"/>
  <c r="AC27"/>
  <c r="K29"/>
  <c r="K31"/>
  <c r="K33"/>
  <c r="K35"/>
  <c r="K37"/>
  <c r="K39"/>
  <c r="K41"/>
  <c r="K43"/>
  <c r="K45"/>
  <c r="K47"/>
  <c r="K51"/>
  <c r="K53"/>
  <c r="AC29"/>
  <c r="AC31"/>
  <c r="AC33"/>
  <c r="AC35"/>
  <c r="AC37"/>
  <c r="AC39"/>
  <c r="AC41"/>
  <c r="AC43"/>
  <c r="AC45"/>
  <c r="AC47"/>
  <c r="AC49"/>
  <c r="AC51"/>
  <c r="AC53"/>
  <c r="E12"/>
  <c r="E14"/>
  <c r="E2"/>
  <c r="E3"/>
  <c r="E4"/>
  <c r="E5"/>
  <c r="E6"/>
  <c r="E7"/>
  <c r="E9"/>
  <c r="F16"/>
  <c r="U28"/>
  <c r="U29"/>
  <c r="U30"/>
  <c r="U31"/>
  <c r="U32"/>
  <c r="U33"/>
  <c r="U34"/>
  <c r="U35"/>
  <c r="U36"/>
  <c r="U37"/>
  <c r="U38"/>
  <c r="U39"/>
  <c r="U40"/>
  <c r="U41"/>
  <c r="U42"/>
  <c r="U43"/>
  <c r="U44"/>
  <c r="U45"/>
  <c r="U46"/>
  <c r="U47"/>
  <c r="U48"/>
  <c r="U49"/>
  <c r="U50"/>
  <c r="U51"/>
  <c r="U52"/>
  <c r="U53"/>
  <c r="C28"/>
  <c r="C29"/>
  <c r="C30"/>
  <c r="C31"/>
  <c r="C32"/>
  <c r="C33"/>
  <c r="C34"/>
  <c r="C35"/>
  <c r="C36"/>
  <c r="C37"/>
  <c r="C38"/>
  <c r="C39"/>
  <c r="C40"/>
  <c r="C41"/>
  <c r="C42"/>
  <c r="C43"/>
  <c r="C44"/>
  <c r="C45"/>
  <c r="C46"/>
  <c r="C48"/>
  <c r="C49"/>
  <c r="C50"/>
  <c r="C51"/>
  <c r="C52"/>
  <c r="C53"/>
  <c r="U2"/>
  <c r="U3"/>
  <c r="U4"/>
  <c r="U5"/>
  <c r="U6"/>
  <c r="U7"/>
  <c r="U8"/>
  <c r="U9"/>
  <c r="U10"/>
  <c r="U11"/>
  <c r="U12"/>
  <c r="U13"/>
  <c r="U14"/>
  <c r="U15"/>
  <c r="U16"/>
  <c r="U17"/>
  <c r="U18"/>
  <c r="U19"/>
  <c r="U20"/>
  <c r="U21"/>
  <c r="U22"/>
  <c r="U23"/>
  <c r="U24"/>
  <c r="U25"/>
  <c r="U26"/>
  <c r="U27"/>
  <c r="K12"/>
  <c r="K4"/>
  <c r="K24"/>
  <c r="K2"/>
  <c r="K6"/>
  <c r="K10"/>
  <c r="K14"/>
  <c r="K8"/>
  <c r="K22"/>
  <c r="K26"/>
  <c r="L15"/>
  <c r="K16"/>
  <c r="L17"/>
  <c r="K18"/>
  <c r="L19"/>
  <c r="K20"/>
  <c r="L21"/>
  <c r="L23"/>
  <c r="L25"/>
  <c r="L27"/>
  <c r="K3"/>
  <c r="K5"/>
  <c r="K7"/>
  <c r="K9"/>
  <c r="K11"/>
  <c r="K13"/>
  <c r="D17"/>
  <c r="C18"/>
  <c r="D19"/>
  <c r="C20"/>
  <c r="D21"/>
  <c r="C22"/>
  <c r="D23"/>
  <c r="C24"/>
  <c r="D25"/>
  <c r="C26"/>
  <c r="D27"/>
</calcChain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charset val="204"/>
      <scheme val="minor"/>
    </font>
    <font>
      <sz val="10"/>
      <name val="Arial"/>
      <family val="2"/>
    </font>
    <font>
      <sz val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4" fontId="2" fillId="0" borderId="0" xfId="1" applyNumberFormat="1" applyFont="1"/>
  </cellXfs>
  <cellStyles count="2">
    <cellStyle name="Normal 2" xfId="1"/>
    <cellStyle name="Обычный" xfId="0" builtinId="0"/>
  </cellStyles>
  <dxfs count="0"/>
  <tableStyles count="0" defaultTableStyle="TableStyleMedium9" defaultPivotStyle="PivotStyleLight16"/>
  <colors>
    <mruColors>
      <color rgb="FFCCFFCC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tabColor rgb="FF00B050"/>
  </sheetPr>
  <dimension ref="A2:AJ53"/>
  <sheetViews>
    <sheetView tabSelected="1" zoomScale="150" zoomScaleNormal="150" workbookViewId="0"/>
  </sheetViews>
  <sheetFormatPr defaultRowHeight="12.75"/>
  <cols>
    <col min="1" max="16384" width="9.140625" style="1"/>
  </cols>
  <sheetData>
    <row r="2" spans="1:36">
      <c r="A2" s="1">
        <v>9.3000000000000007</v>
      </c>
      <c r="B2" s="1">
        <f t="shared" ref="B2:B7" si="0">EVEN(A2)</f>
        <v>10</v>
      </c>
      <c r="C2" s="1">
        <v>230.8</v>
      </c>
      <c r="D2" s="1">
        <f t="shared" ref="D2:D16" si="1">C2*$B$1+C2</f>
        <v>230.8</v>
      </c>
      <c r="E2" s="1">
        <f t="shared" ref="E2:E10" si="2">TRUNC(D2)</f>
        <v>230</v>
      </c>
      <c r="F2" s="1">
        <f t="shared" ref="F2:F10" si="3">INT(D2)</f>
        <v>230</v>
      </c>
      <c r="H2" s="1">
        <f t="shared" ref="H2:H11" si="4">EVEN(G2)</f>
        <v>0</v>
      </c>
      <c r="I2" s="1">
        <v>361.5</v>
      </c>
      <c r="J2" s="1">
        <f t="shared" ref="J2:J42" si="5">I2*$B$1+I2</f>
        <v>361.5</v>
      </c>
      <c r="K2" s="1">
        <f>TRUNC(J2)</f>
        <v>361</v>
      </c>
      <c r="L2" s="1">
        <f>INT(J2)</f>
        <v>361</v>
      </c>
      <c r="N2" s="1">
        <v>22</v>
      </c>
      <c r="O2" s="1">
        <f t="shared" ref="O2:O11" si="6">ODD(N2)</f>
        <v>23</v>
      </c>
      <c r="Q2" s="1">
        <v>22</v>
      </c>
      <c r="R2" s="1">
        <f t="shared" ref="R2:R11" si="7">EVEN(Q2)</f>
        <v>22</v>
      </c>
      <c r="S2" s="1">
        <v>361.5</v>
      </c>
      <c r="T2" s="1">
        <f t="shared" ref="T2:T33" si="8">S2*$B$1+S2</f>
        <v>361.5</v>
      </c>
      <c r="U2" s="1">
        <f>TRUNC(T2)</f>
        <v>361</v>
      </c>
      <c r="V2" s="1">
        <f>INT(T2)</f>
        <v>361</v>
      </c>
      <c r="W2" s="1">
        <v>22</v>
      </c>
      <c r="X2" s="1">
        <f t="shared" ref="X2:X11" si="9">ODD(W2)</f>
        <v>23</v>
      </c>
      <c r="Y2" s="1">
        <v>22</v>
      </c>
      <c r="Z2" s="1">
        <f t="shared" ref="Z2:Z11" si="10">EVEN(Y2)</f>
        <v>22</v>
      </c>
      <c r="AA2" s="1">
        <v>361.5</v>
      </c>
      <c r="AB2" s="1">
        <f>AA2*$B$1+AA2</f>
        <v>361.5</v>
      </c>
      <c r="AC2" s="1">
        <f>TRUNC(AB2)</f>
        <v>361</v>
      </c>
      <c r="AD2" s="1">
        <f>INT(AB2)</f>
        <v>361</v>
      </c>
      <c r="AF2" s="1">
        <v>22</v>
      </c>
      <c r="AG2" s="1">
        <f t="shared" ref="AG2:AG11" si="11">ODD(AF2)</f>
        <v>23</v>
      </c>
      <c r="AI2" s="1">
        <v>22</v>
      </c>
      <c r="AJ2" s="1">
        <f t="shared" ref="AJ2:AJ11" si="12">EVEN(AI2)</f>
        <v>22</v>
      </c>
    </row>
    <row r="3" spans="1:36">
      <c r="A3" s="1">
        <v>6</v>
      </c>
      <c r="B3" s="1">
        <f t="shared" si="0"/>
        <v>6</v>
      </c>
      <c r="C3" s="1">
        <v>215.4</v>
      </c>
      <c r="D3" s="1">
        <f t="shared" si="1"/>
        <v>215.4</v>
      </c>
      <c r="E3" s="1">
        <f t="shared" si="2"/>
        <v>215</v>
      </c>
      <c r="F3" s="1">
        <f t="shared" si="3"/>
        <v>215</v>
      </c>
      <c r="H3" s="1">
        <f t="shared" si="4"/>
        <v>0</v>
      </c>
      <c r="I3" s="1">
        <v>353.8</v>
      </c>
      <c r="J3" s="1">
        <f t="shared" si="5"/>
        <v>353.8</v>
      </c>
      <c r="K3" s="1">
        <f t="shared" ref="K3:K7" si="13">TRUNC(J3)</f>
        <v>353</v>
      </c>
      <c r="L3" s="1">
        <f t="shared" ref="L3:L7" si="14">INT(J3)</f>
        <v>353</v>
      </c>
      <c r="N3" s="1">
        <v>19.3</v>
      </c>
      <c r="O3" s="1">
        <f t="shared" si="6"/>
        <v>21</v>
      </c>
      <c r="Q3" s="1">
        <v>19.3</v>
      </c>
      <c r="R3" s="1">
        <f t="shared" si="7"/>
        <v>20</v>
      </c>
      <c r="S3" s="1">
        <v>353.8</v>
      </c>
      <c r="T3" s="1">
        <f t="shared" si="8"/>
        <v>353.8</v>
      </c>
      <c r="U3" s="1">
        <f t="shared" ref="U3:U14" si="15">TRUNC(T3)</f>
        <v>353</v>
      </c>
      <c r="V3" s="1">
        <f t="shared" ref="V3:V14" si="16">INT(T3)</f>
        <v>353</v>
      </c>
      <c r="W3" s="1">
        <v>19.3</v>
      </c>
      <c r="X3" s="1">
        <f t="shared" si="9"/>
        <v>21</v>
      </c>
      <c r="Y3" s="1">
        <v>19.3</v>
      </c>
      <c r="Z3" s="1">
        <f t="shared" si="10"/>
        <v>20</v>
      </c>
      <c r="AA3" s="1">
        <v>353.8</v>
      </c>
      <c r="AB3" s="1">
        <f>AA3*$B$1+AA3</f>
        <v>353.8</v>
      </c>
      <c r="AC3" s="1">
        <f t="shared" ref="AC3:AC14" si="17">TRUNC(AB3)</f>
        <v>353</v>
      </c>
      <c r="AD3" s="1">
        <f t="shared" ref="AD3:AD14" si="18">INT(AB3)</f>
        <v>353</v>
      </c>
      <c r="AF3" s="1">
        <v>19.3</v>
      </c>
      <c r="AG3" s="1">
        <f t="shared" si="11"/>
        <v>21</v>
      </c>
      <c r="AI3" s="1">
        <v>19.3</v>
      </c>
      <c r="AJ3" s="1">
        <f t="shared" si="12"/>
        <v>20</v>
      </c>
    </row>
    <row r="4" spans="1:36">
      <c r="A4" s="1">
        <v>0</v>
      </c>
      <c r="B4" s="1">
        <f t="shared" si="0"/>
        <v>0</v>
      </c>
      <c r="C4" s="1">
        <v>-15.4</v>
      </c>
      <c r="D4" s="1">
        <f t="shared" si="1"/>
        <v>-15.4</v>
      </c>
      <c r="E4" s="1">
        <f t="shared" si="2"/>
        <v>-15</v>
      </c>
      <c r="F4" s="1">
        <f t="shared" si="3"/>
        <v>-16</v>
      </c>
      <c r="H4" s="1">
        <f t="shared" si="4"/>
        <v>0</v>
      </c>
      <c r="I4" s="1">
        <v>323.10000000000002</v>
      </c>
      <c r="J4" s="1">
        <f t="shared" si="5"/>
        <v>323.10000000000002</v>
      </c>
      <c r="K4" s="1">
        <f t="shared" si="13"/>
        <v>323</v>
      </c>
      <c r="L4" s="1">
        <f t="shared" si="14"/>
        <v>323</v>
      </c>
      <c r="N4" s="1">
        <v>16.100000000000001</v>
      </c>
      <c r="O4" s="1">
        <f t="shared" si="6"/>
        <v>17</v>
      </c>
      <c r="Q4" s="1">
        <v>16.100000000000001</v>
      </c>
      <c r="R4" s="1">
        <f t="shared" si="7"/>
        <v>18</v>
      </c>
      <c r="S4" s="1">
        <v>323.10000000000002</v>
      </c>
      <c r="T4" s="1">
        <f t="shared" si="8"/>
        <v>323.10000000000002</v>
      </c>
      <c r="U4" s="1">
        <f t="shared" si="15"/>
        <v>323</v>
      </c>
      <c r="V4" s="1">
        <f t="shared" si="16"/>
        <v>323</v>
      </c>
      <c r="W4" s="1">
        <v>16.100000000000001</v>
      </c>
      <c r="X4" s="1">
        <f t="shared" si="9"/>
        <v>17</v>
      </c>
      <c r="Y4" s="1">
        <v>16.100000000000001</v>
      </c>
      <c r="Z4" s="1">
        <f t="shared" si="10"/>
        <v>18</v>
      </c>
      <c r="AA4" s="1">
        <v>323.10000000000002</v>
      </c>
      <c r="AB4" s="1">
        <f>AA4*$B$1+AA4</f>
        <v>323.10000000000002</v>
      </c>
      <c r="AC4" s="1">
        <f t="shared" si="17"/>
        <v>323</v>
      </c>
      <c r="AD4" s="1">
        <f t="shared" si="18"/>
        <v>323</v>
      </c>
      <c r="AF4" s="1">
        <v>16.100000000000001</v>
      </c>
      <c r="AG4" s="1">
        <f t="shared" si="11"/>
        <v>17</v>
      </c>
      <c r="AI4" s="1">
        <v>16.100000000000001</v>
      </c>
      <c r="AJ4" s="1">
        <f t="shared" si="12"/>
        <v>18</v>
      </c>
    </row>
    <row r="5" spans="1:36">
      <c r="A5" s="1">
        <v>-3.4</v>
      </c>
      <c r="B5" s="1">
        <f t="shared" si="0"/>
        <v>-4</v>
      </c>
      <c r="C5" s="1">
        <v>-46.2</v>
      </c>
      <c r="D5" s="1">
        <f t="shared" si="1"/>
        <v>-46.2</v>
      </c>
      <c r="E5" s="1">
        <f t="shared" si="2"/>
        <v>-46</v>
      </c>
      <c r="F5" s="1">
        <f t="shared" si="3"/>
        <v>-47</v>
      </c>
      <c r="H5" s="1">
        <f t="shared" si="4"/>
        <v>0</v>
      </c>
      <c r="I5" s="1">
        <v>315.39999999999998</v>
      </c>
      <c r="J5" s="1">
        <f t="shared" si="5"/>
        <v>315.39999999999998</v>
      </c>
      <c r="K5" s="1">
        <f t="shared" si="13"/>
        <v>315</v>
      </c>
      <c r="L5" s="1">
        <f t="shared" si="14"/>
        <v>315</v>
      </c>
      <c r="N5" s="1">
        <v>12</v>
      </c>
      <c r="O5" s="1">
        <f t="shared" si="6"/>
        <v>13</v>
      </c>
      <c r="Q5" s="1">
        <v>12</v>
      </c>
      <c r="R5" s="1">
        <f t="shared" si="7"/>
        <v>12</v>
      </c>
      <c r="S5" s="1">
        <v>315.39999999999998</v>
      </c>
      <c r="T5" s="1">
        <f t="shared" si="8"/>
        <v>315.39999999999998</v>
      </c>
      <c r="U5" s="1">
        <f t="shared" si="15"/>
        <v>315</v>
      </c>
      <c r="V5" s="1">
        <f t="shared" si="16"/>
        <v>315</v>
      </c>
      <c r="W5" s="1">
        <v>12</v>
      </c>
      <c r="X5" s="1">
        <f t="shared" si="9"/>
        <v>13</v>
      </c>
      <c r="Y5" s="1">
        <v>12</v>
      </c>
      <c r="Z5" s="1">
        <f t="shared" si="10"/>
        <v>12</v>
      </c>
      <c r="AA5" s="1">
        <v>315.39999999999998</v>
      </c>
      <c r="AB5" s="1">
        <f>AA5*$B$1+AA5</f>
        <v>315.39999999999998</v>
      </c>
      <c r="AC5" s="1">
        <f t="shared" si="17"/>
        <v>315</v>
      </c>
      <c r="AD5" s="1">
        <f t="shared" si="18"/>
        <v>315</v>
      </c>
      <c r="AF5" s="1">
        <v>12</v>
      </c>
      <c r="AG5" s="1">
        <f t="shared" si="11"/>
        <v>13</v>
      </c>
      <c r="AI5" s="1">
        <v>12</v>
      </c>
      <c r="AJ5" s="1">
        <f t="shared" si="12"/>
        <v>12</v>
      </c>
    </row>
    <row r="6" spans="1:36">
      <c r="A6" s="1">
        <v>-6</v>
      </c>
      <c r="B6" s="1">
        <f t="shared" si="0"/>
        <v>-6</v>
      </c>
      <c r="C6" s="1">
        <v>-46.2</v>
      </c>
      <c r="D6" s="1">
        <f t="shared" si="1"/>
        <v>-46.2</v>
      </c>
      <c r="E6" s="1">
        <f t="shared" si="2"/>
        <v>-46</v>
      </c>
      <c r="F6" s="1">
        <f t="shared" si="3"/>
        <v>-47</v>
      </c>
      <c r="H6" s="1">
        <f t="shared" si="4"/>
        <v>0</v>
      </c>
      <c r="I6" s="1">
        <v>230.8</v>
      </c>
      <c r="J6" s="1">
        <f t="shared" si="5"/>
        <v>230.8</v>
      </c>
      <c r="K6" s="1">
        <f t="shared" si="13"/>
        <v>230</v>
      </c>
      <c r="L6" s="1">
        <f t="shared" si="14"/>
        <v>230</v>
      </c>
      <c r="N6" s="1">
        <v>9.3000000000000007</v>
      </c>
      <c r="O6" s="1">
        <f t="shared" si="6"/>
        <v>11</v>
      </c>
      <c r="Q6" s="1">
        <v>9.3000000000000007</v>
      </c>
      <c r="R6" s="1">
        <f t="shared" si="7"/>
        <v>10</v>
      </c>
      <c r="S6" s="1">
        <v>230.8</v>
      </c>
      <c r="T6" s="1">
        <f t="shared" si="8"/>
        <v>230.8</v>
      </c>
      <c r="U6" s="1">
        <f t="shared" si="15"/>
        <v>230</v>
      </c>
      <c r="V6" s="1">
        <f t="shared" si="16"/>
        <v>230</v>
      </c>
      <c r="W6" s="1">
        <v>9.3000000000000007</v>
      </c>
      <c r="X6" s="1">
        <f t="shared" si="9"/>
        <v>11</v>
      </c>
      <c r="Y6" s="1">
        <v>9.3000000000000007</v>
      </c>
      <c r="Z6" s="1">
        <f t="shared" si="10"/>
        <v>10</v>
      </c>
      <c r="AA6" s="1">
        <v>230.8</v>
      </c>
      <c r="AB6" s="1">
        <f>Z6+AA6</f>
        <v>240.8</v>
      </c>
      <c r="AC6" s="1">
        <f t="shared" si="17"/>
        <v>240</v>
      </c>
      <c r="AD6" s="1">
        <f t="shared" si="18"/>
        <v>240</v>
      </c>
      <c r="AF6" s="1">
        <v>9.3000000000000007</v>
      </c>
      <c r="AG6" s="1">
        <f t="shared" si="11"/>
        <v>11</v>
      </c>
      <c r="AI6" s="1">
        <v>9.3000000000000007</v>
      </c>
      <c r="AJ6" s="1">
        <f t="shared" si="12"/>
        <v>10</v>
      </c>
    </row>
    <row r="7" spans="1:36">
      <c r="A7" s="1">
        <v>-9</v>
      </c>
      <c r="B7" s="1">
        <f t="shared" si="0"/>
        <v>-10</v>
      </c>
      <c r="C7" s="1">
        <v>-123.1</v>
      </c>
      <c r="D7" s="1">
        <f t="shared" si="1"/>
        <v>-123.1</v>
      </c>
      <c r="E7" s="1">
        <f t="shared" si="2"/>
        <v>-123</v>
      </c>
      <c r="F7" s="1">
        <f t="shared" si="3"/>
        <v>-124</v>
      </c>
      <c r="H7" s="1">
        <f t="shared" si="4"/>
        <v>0</v>
      </c>
      <c r="I7" s="1">
        <v>215.4</v>
      </c>
      <c r="J7" s="1">
        <f t="shared" si="5"/>
        <v>215.4</v>
      </c>
      <c r="K7" s="1">
        <f t="shared" si="13"/>
        <v>215</v>
      </c>
      <c r="L7" s="1">
        <f t="shared" si="14"/>
        <v>215</v>
      </c>
      <c r="N7" s="1">
        <v>6</v>
      </c>
      <c r="O7" s="1">
        <f t="shared" si="6"/>
        <v>7</v>
      </c>
      <c r="Q7" s="1">
        <v>6</v>
      </c>
      <c r="R7" s="1">
        <f t="shared" si="7"/>
        <v>6</v>
      </c>
      <c r="S7" s="1">
        <v>215.4</v>
      </c>
      <c r="T7" s="1">
        <f t="shared" si="8"/>
        <v>215.4</v>
      </c>
      <c r="U7" s="1">
        <f t="shared" si="15"/>
        <v>215</v>
      </c>
      <c r="V7" s="1">
        <f t="shared" si="16"/>
        <v>215</v>
      </c>
      <c r="W7" s="1">
        <v>6</v>
      </c>
      <c r="X7" s="1">
        <f t="shared" si="9"/>
        <v>7</v>
      </c>
      <c r="Y7" s="1">
        <v>6</v>
      </c>
      <c r="Z7" s="1">
        <f t="shared" si="10"/>
        <v>6</v>
      </c>
      <c r="AA7" s="1">
        <v>215.4</v>
      </c>
      <c r="AB7" s="1" t="e">
        <f>Z7+AA7s</f>
        <v>#NAME?</v>
      </c>
      <c r="AC7" s="1" t="e">
        <f t="shared" si="17"/>
        <v>#NAME?</v>
      </c>
      <c r="AD7" s="1" t="e">
        <f t="shared" si="18"/>
        <v>#NAME?</v>
      </c>
      <c r="AF7" s="1">
        <v>6</v>
      </c>
      <c r="AG7" s="1">
        <f t="shared" si="11"/>
        <v>7</v>
      </c>
      <c r="AI7" s="1">
        <v>6</v>
      </c>
      <c r="AJ7" s="1">
        <f t="shared" si="12"/>
        <v>6</v>
      </c>
    </row>
    <row r="8" spans="1:36">
      <c r="C8" s="1">
        <v>-123.1</v>
      </c>
      <c r="D8" s="1">
        <f t="shared" si="1"/>
        <v>-123.1</v>
      </c>
      <c r="E8" s="1">
        <f t="shared" si="2"/>
        <v>-123</v>
      </c>
      <c r="F8" s="1">
        <f t="shared" si="3"/>
        <v>-124</v>
      </c>
      <c r="H8" s="1">
        <f t="shared" si="4"/>
        <v>0</v>
      </c>
      <c r="I8" s="1">
        <v>-15.4</v>
      </c>
      <c r="J8" s="1">
        <f t="shared" si="5"/>
        <v>-15.4</v>
      </c>
      <c r="K8" s="1">
        <f t="shared" ref="K8:K14" si="19">TRUNC(J8)</f>
        <v>-15</v>
      </c>
      <c r="L8" s="1">
        <f t="shared" ref="L8:L14" si="20">INT(J8)</f>
        <v>-16</v>
      </c>
      <c r="N8" s="1">
        <v>0</v>
      </c>
      <c r="O8" s="1">
        <f t="shared" si="6"/>
        <v>1</v>
      </c>
      <c r="Q8" s="1">
        <v>0</v>
      </c>
      <c r="R8" s="1">
        <f t="shared" si="7"/>
        <v>0</v>
      </c>
      <c r="S8" s="1">
        <v>-15.4</v>
      </c>
      <c r="T8" s="1">
        <f t="shared" si="8"/>
        <v>-15.4</v>
      </c>
      <c r="U8" s="1">
        <f t="shared" si="15"/>
        <v>-15</v>
      </c>
      <c r="V8" s="1">
        <f t="shared" si="16"/>
        <v>-16</v>
      </c>
      <c r="W8" s="1">
        <v>0</v>
      </c>
      <c r="X8" s="1">
        <f t="shared" si="9"/>
        <v>1</v>
      </c>
      <c r="Y8" s="1">
        <v>0</v>
      </c>
      <c r="Z8" s="1">
        <f t="shared" si="10"/>
        <v>0</v>
      </c>
      <c r="AA8" s="1">
        <v>-15.4</v>
      </c>
      <c r="AB8" s="1">
        <f t="shared" ref="AB7:AB53" si="21">Z8+AA8</f>
        <v>-15.4</v>
      </c>
      <c r="AC8" s="1">
        <f t="shared" si="17"/>
        <v>-15</v>
      </c>
      <c r="AD8" s="1">
        <f t="shared" si="18"/>
        <v>-16</v>
      </c>
      <c r="AF8" s="1">
        <v>0</v>
      </c>
      <c r="AG8" s="1">
        <f t="shared" si="11"/>
        <v>1</v>
      </c>
      <c r="AI8" s="1">
        <v>0</v>
      </c>
      <c r="AJ8" s="1">
        <f t="shared" si="12"/>
        <v>0</v>
      </c>
    </row>
    <row r="9" spans="1:36">
      <c r="C9" s="1">
        <v>-284.60000000000002</v>
      </c>
      <c r="D9" s="1">
        <f t="shared" si="1"/>
        <v>-284.60000000000002</v>
      </c>
      <c r="E9" s="1">
        <f t="shared" si="2"/>
        <v>-284</v>
      </c>
      <c r="F9" s="1">
        <f t="shared" si="3"/>
        <v>-285</v>
      </c>
      <c r="H9" s="1">
        <f t="shared" si="4"/>
        <v>0</v>
      </c>
      <c r="I9" s="1">
        <v>-46.2</v>
      </c>
      <c r="J9" s="1">
        <f t="shared" si="5"/>
        <v>-46.2</v>
      </c>
      <c r="K9" s="1">
        <f t="shared" si="19"/>
        <v>-46</v>
      </c>
      <c r="L9" s="1">
        <f t="shared" si="20"/>
        <v>-47</v>
      </c>
      <c r="N9" s="1">
        <v>-3.4</v>
      </c>
      <c r="O9" s="1">
        <f t="shared" si="6"/>
        <v>-5</v>
      </c>
      <c r="Q9" s="1">
        <v>-3.4</v>
      </c>
      <c r="R9" s="1">
        <f t="shared" si="7"/>
        <v>-4</v>
      </c>
      <c r="S9" s="1">
        <v>-46.2</v>
      </c>
      <c r="T9" s="1">
        <f t="shared" si="8"/>
        <v>-46.2</v>
      </c>
      <c r="U9" s="1">
        <f t="shared" si="15"/>
        <v>-46</v>
      </c>
      <c r="V9" s="1">
        <f t="shared" si="16"/>
        <v>-47</v>
      </c>
      <c r="W9" s="1">
        <v>-3.4</v>
      </c>
      <c r="X9" s="1">
        <f t="shared" si="9"/>
        <v>-5</v>
      </c>
      <c r="Y9" s="1">
        <v>-3.4</v>
      </c>
      <c r="Z9" s="1">
        <f t="shared" si="10"/>
        <v>-4</v>
      </c>
      <c r="AA9" s="1">
        <v>-46.2</v>
      </c>
      <c r="AB9" s="1">
        <f t="shared" si="21"/>
        <v>-50.2</v>
      </c>
      <c r="AC9" s="1">
        <f t="shared" si="17"/>
        <v>-50</v>
      </c>
      <c r="AD9" s="1">
        <f t="shared" si="18"/>
        <v>-51</v>
      </c>
      <c r="AF9" s="1">
        <v>-3.4</v>
      </c>
      <c r="AG9" s="1">
        <f t="shared" si="11"/>
        <v>-5</v>
      </c>
      <c r="AI9" s="1">
        <v>-3.4</v>
      </c>
      <c r="AJ9" s="1">
        <f t="shared" si="12"/>
        <v>-4</v>
      </c>
    </row>
    <row r="10" spans="1:36">
      <c r="C10" s="1">
        <v>-446.2</v>
      </c>
      <c r="D10" s="1">
        <f t="shared" si="1"/>
        <v>-446.2</v>
      </c>
      <c r="E10" s="1">
        <f t="shared" si="2"/>
        <v>-446</v>
      </c>
      <c r="F10" s="1">
        <f t="shared" si="3"/>
        <v>-447</v>
      </c>
      <c r="H10" s="1">
        <f t="shared" si="4"/>
        <v>0</v>
      </c>
      <c r="I10" s="1">
        <v>-46.2</v>
      </c>
      <c r="J10" s="1">
        <f t="shared" si="5"/>
        <v>-46.2</v>
      </c>
      <c r="K10" s="1">
        <f t="shared" si="19"/>
        <v>-46</v>
      </c>
      <c r="L10" s="1">
        <f t="shared" si="20"/>
        <v>-47</v>
      </c>
      <c r="N10" s="1">
        <v>-6</v>
      </c>
      <c r="O10" s="1">
        <f t="shared" si="6"/>
        <v>-7</v>
      </c>
      <c r="Q10" s="1">
        <v>-6</v>
      </c>
      <c r="R10" s="1">
        <f t="shared" si="7"/>
        <v>-6</v>
      </c>
      <c r="S10" s="1">
        <v>-46.2</v>
      </c>
      <c r="T10" s="1">
        <f t="shared" si="8"/>
        <v>-46.2</v>
      </c>
      <c r="U10" s="1">
        <f t="shared" si="15"/>
        <v>-46</v>
      </c>
      <c r="V10" s="1">
        <f t="shared" si="16"/>
        <v>-47</v>
      </c>
      <c r="W10" s="1">
        <v>-6</v>
      </c>
      <c r="X10" s="1">
        <f t="shared" si="9"/>
        <v>-7</v>
      </c>
      <c r="Y10" s="1">
        <v>-6</v>
      </c>
      <c r="Z10" s="1">
        <f t="shared" si="10"/>
        <v>-6</v>
      </c>
      <c r="AA10" s="1">
        <v>-46.2</v>
      </c>
      <c r="AB10" s="1">
        <f t="shared" si="21"/>
        <v>-52.2</v>
      </c>
      <c r="AC10" s="1">
        <f t="shared" si="17"/>
        <v>-52</v>
      </c>
      <c r="AD10" s="1">
        <f t="shared" si="18"/>
        <v>-53</v>
      </c>
      <c r="AF10" s="1">
        <v>-6</v>
      </c>
      <c r="AG10" s="1">
        <f t="shared" si="11"/>
        <v>-7</v>
      </c>
      <c r="AI10" s="1">
        <v>-6</v>
      </c>
      <c r="AJ10" s="1">
        <f t="shared" si="12"/>
        <v>-6</v>
      </c>
    </row>
    <row r="11" spans="1:36">
      <c r="A11" s="1">
        <v>22</v>
      </c>
      <c r="B11" s="1">
        <f t="shared" ref="B11:B16" si="22">EVEN(A11)</f>
        <v>22</v>
      </c>
      <c r="C11" s="1">
        <v>361.5</v>
      </c>
      <c r="D11" s="1">
        <f t="shared" si="1"/>
        <v>361.5</v>
      </c>
      <c r="E11" s="1">
        <f>TRUNC(D11)</f>
        <v>361</v>
      </c>
      <c r="F11" s="1">
        <f>INT(D11)</f>
        <v>361</v>
      </c>
      <c r="H11" s="1">
        <f t="shared" si="4"/>
        <v>0</v>
      </c>
      <c r="I11" s="1">
        <v>-123.1</v>
      </c>
      <c r="J11" s="1">
        <f t="shared" si="5"/>
        <v>-123.1</v>
      </c>
      <c r="K11" s="1">
        <f t="shared" si="19"/>
        <v>-123</v>
      </c>
      <c r="L11" s="1">
        <f t="shared" si="20"/>
        <v>-124</v>
      </c>
      <c r="N11" s="1">
        <v>-9</v>
      </c>
      <c r="O11" s="1">
        <f t="shared" si="6"/>
        <v>-9</v>
      </c>
      <c r="Q11" s="1">
        <v>-9</v>
      </c>
      <c r="R11" s="1">
        <f t="shared" si="7"/>
        <v>-10</v>
      </c>
      <c r="S11" s="1">
        <v>-123.1</v>
      </c>
      <c r="T11" s="1">
        <f t="shared" si="8"/>
        <v>-123.1</v>
      </c>
      <c r="U11" s="1">
        <f t="shared" si="15"/>
        <v>-123</v>
      </c>
      <c r="V11" s="1">
        <f t="shared" si="16"/>
        <v>-124</v>
      </c>
      <c r="W11" s="1">
        <v>-9</v>
      </c>
      <c r="X11" s="1">
        <f t="shared" si="9"/>
        <v>-9</v>
      </c>
      <c r="Y11" s="1">
        <v>-9</v>
      </c>
      <c r="Z11" s="1">
        <f t="shared" si="10"/>
        <v>-10</v>
      </c>
      <c r="AA11" s="1">
        <v>-123.1</v>
      </c>
      <c r="AB11" s="1">
        <f t="shared" si="21"/>
        <v>-133.1</v>
      </c>
      <c r="AC11" s="1">
        <f t="shared" si="17"/>
        <v>-133</v>
      </c>
      <c r="AD11" s="1">
        <f t="shared" si="18"/>
        <v>-134</v>
      </c>
      <c r="AF11" s="1">
        <v>-9</v>
      </c>
      <c r="AG11" s="1">
        <f t="shared" si="11"/>
        <v>-9</v>
      </c>
      <c r="AI11" s="1">
        <v>-9</v>
      </c>
      <c r="AJ11" s="1">
        <f t="shared" si="12"/>
        <v>-10</v>
      </c>
    </row>
    <row r="12" spans="1:36">
      <c r="A12" s="1">
        <v>19.3</v>
      </c>
      <c r="B12" s="1">
        <f t="shared" si="22"/>
        <v>20</v>
      </c>
      <c r="C12" s="1">
        <v>353.8</v>
      </c>
      <c r="D12" s="1">
        <f t="shared" si="1"/>
        <v>353.8</v>
      </c>
      <c r="E12" s="1">
        <f t="shared" ref="E12:E16" si="23">TRUNC(D12)</f>
        <v>353</v>
      </c>
      <c r="F12" s="1">
        <f t="shared" ref="F12:F16" si="24">INT(D12)</f>
        <v>353</v>
      </c>
      <c r="I12" s="1">
        <v>-123.1</v>
      </c>
      <c r="J12" s="1">
        <f t="shared" si="5"/>
        <v>-123.1</v>
      </c>
      <c r="K12" s="1">
        <f t="shared" si="19"/>
        <v>-123</v>
      </c>
      <c r="L12" s="1">
        <f t="shared" si="20"/>
        <v>-124</v>
      </c>
      <c r="S12" s="1">
        <v>-123.1</v>
      </c>
      <c r="T12" s="1">
        <f t="shared" si="8"/>
        <v>-123.1</v>
      </c>
      <c r="U12" s="1">
        <f t="shared" si="15"/>
        <v>-123</v>
      </c>
      <c r="V12" s="1">
        <f t="shared" si="16"/>
        <v>-124</v>
      </c>
      <c r="AA12" s="1">
        <v>-123.1</v>
      </c>
      <c r="AB12" s="1">
        <f t="shared" si="21"/>
        <v>-123.1</v>
      </c>
      <c r="AC12" s="1">
        <f t="shared" si="17"/>
        <v>-123</v>
      </c>
      <c r="AD12" s="1">
        <f t="shared" si="18"/>
        <v>-124</v>
      </c>
    </row>
    <row r="13" spans="1:36">
      <c r="A13" s="1">
        <v>16.100000000000001</v>
      </c>
      <c r="B13" s="1">
        <f t="shared" si="22"/>
        <v>18</v>
      </c>
      <c r="C13" s="1">
        <v>323.10000000000002</v>
      </c>
      <c r="D13" s="1">
        <f t="shared" si="1"/>
        <v>323.10000000000002</v>
      </c>
      <c r="E13" s="1">
        <f t="shared" si="23"/>
        <v>323</v>
      </c>
      <c r="F13" s="1">
        <f t="shared" si="24"/>
        <v>323</v>
      </c>
      <c r="I13" s="1">
        <v>-284.60000000000002</v>
      </c>
      <c r="J13" s="1">
        <f t="shared" si="5"/>
        <v>-284.60000000000002</v>
      </c>
      <c r="K13" s="1">
        <f t="shared" si="19"/>
        <v>-284</v>
      </c>
      <c r="L13" s="1">
        <f t="shared" si="20"/>
        <v>-285</v>
      </c>
      <c r="S13" s="1">
        <v>-284.60000000000002</v>
      </c>
      <c r="T13" s="1">
        <f t="shared" si="8"/>
        <v>-284.60000000000002</v>
      </c>
      <c r="U13" s="1">
        <f t="shared" si="15"/>
        <v>-284</v>
      </c>
      <c r="V13" s="1">
        <f t="shared" si="16"/>
        <v>-285</v>
      </c>
      <c r="AA13" s="1">
        <v>-284.60000000000002</v>
      </c>
      <c r="AB13" s="1">
        <f t="shared" si="21"/>
        <v>-284.60000000000002</v>
      </c>
      <c r="AC13" s="1">
        <f t="shared" si="17"/>
        <v>-284</v>
      </c>
      <c r="AD13" s="1">
        <f t="shared" si="18"/>
        <v>-285</v>
      </c>
    </row>
    <row r="14" spans="1:36">
      <c r="A14" s="1">
        <v>12</v>
      </c>
      <c r="B14" s="1">
        <f t="shared" si="22"/>
        <v>12</v>
      </c>
      <c r="C14" s="1">
        <v>315.39999999999998</v>
      </c>
      <c r="D14" s="1">
        <f t="shared" si="1"/>
        <v>315.39999999999998</v>
      </c>
      <c r="E14" s="1">
        <f t="shared" si="23"/>
        <v>315</v>
      </c>
      <c r="F14" s="1">
        <f t="shared" si="24"/>
        <v>315</v>
      </c>
      <c r="I14" s="1">
        <v>-446.2</v>
      </c>
      <c r="J14" s="1">
        <f t="shared" si="5"/>
        <v>-446.2</v>
      </c>
      <c r="K14" s="1">
        <f t="shared" si="19"/>
        <v>-446</v>
      </c>
      <c r="L14" s="1">
        <f t="shared" si="20"/>
        <v>-447</v>
      </c>
      <c r="S14" s="1">
        <v>-446.2</v>
      </c>
      <c r="T14" s="1">
        <f t="shared" si="8"/>
        <v>-446.2</v>
      </c>
      <c r="U14" s="1">
        <f t="shared" si="15"/>
        <v>-446</v>
      </c>
      <c r="V14" s="1">
        <f t="shared" si="16"/>
        <v>-447</v>
      </c>
      <c r="AA14" s="1">
        <v>-446.2</v>
      </c>
      <c r="AB14" s="1">
        <f t="shared" si="21"/>
        <v>-446.2</v>
      </c>
      <c r="AC14" s="1">
        <f t="shared" si="17"/>
        <v>-446</v>
      </c>
      <c r="AD14" s="1">
        <f t="shared" si="18"/>
        <v>-447</v>
      </c>
    </row>
    <row r="15" spans="1:36">
      <c r="A15" s="1">
        <v>9.3000000000000007</v>
      </c>
      <c r="B15" s="1">
        <f t="shared" si="22"/>
        <v>10</v>
      </c>
      <c r="C15" s="1">
        <v>230.8</v>
      </c>
      <c r="D15" s="1">
        <f t="shared" si="1"/>
        <v>230.8</v>
      </c>
      <c r="E15" s="1">
        <f t="shared" si="23"/>
        <v>230</v>
      </c>
      <c r="F15" s="1">
        <f t="shared" si="24"/>
        <v>230</v>
      </c>
      <c r="H15" s="1">
        <f t="shared" ref="H15:H24" si="25">EVEN(G15)</f>
        <v>0</v>
      </c>
      <c r="I15" s="1">
        <v>361.5</v>
      </c>
      <c r="J15" s="1">
        <f t="shared" si="5"/>
        <v>361.5</v>
      </c>
      <c r="K15" s="1">
        <f>TRUNC(J15)</f>
        <v>361</v>
      </c>
      <c r="L15" s="1">
        <f>INT(J15)</f>
        <v>361</v>
      </c>
      <c r="N15" s="1">
        <v>22</v>
      </c>
      <c r="O15" s="1">
        <f t="shared" ref="O15:O24" si="26">ODD(N15)</f>
        <v>23</v>
      </c>
      <c r="Q15" s="1">
        <v>22</v>
      </c>
      <c r="R15" s="1">
        <f t="shared" ref="R15:R24" si="27">EVEN(Q15)</f>
        <v>22</v>
      </c>
      <c r="S15" s="1">
        <v>361.5</v>
      </c>
      <c r="T15" s="1">
        <f t="shared" si="8"/>
        <v>361.5</v>
      </c>
      <c r="U15" s="1">
        <f>TRUNC(T15)</f>
        <v>361</v>
      </c>
      <c r="V15" s="1">
        <f>INT(T15)</f>
        <v>361</v>
      </c>
      <c r="W15" s="1">
        <v>22</v>
      </c>
      <c r="X15" s="1">
        <f t="shared" ref="X15:X24" si="28">ODD(W15)</f>
        <v>23</v>
      </c>
      <c r="Y15" s="1">
        <v>22</v>
      </c>
      <c r="Z15" s="1">
        <f t="shared" ref="Z15:Z24" si="29">EVEN(Y15)</f>
        <v>22</v>
      </c>
      <c r="AA15" s="1">
        <v>361.5</v>
      </c>
      <c r="AB15" s="1">
        <f t="shared" si="21"/>
        <v>383.5</v>
      </c>
      <c r="AC15" s="1">
        <f>TRUNC(AB15)</f>
        <v>383</v>
      </c>
      <c r="AD15" s="1">
        <f>INT(AB15)</f>
        <v>383</v>
      </c>
      <c r="AF15" s="1">
        <v>22</v>
      </c>
      <c r="AG15" s="1">
        <f t="shared" ref="AG15:AG24" si="30">ODD(AF15)</f>
        <v>23</v>
      </c>
      <c r="AI15" s="1">
        <v>22</v>
      </c>
      <c r="AJ15" s="1">
        <f t="shared" ref="AJ15:AJ24" si="31">EVEN(AI15)</f>
        <v>22</v>
      </c>
    </row>
    <row r="16" spans="1:36">
      <c r="A16" s="1">
        <v>6</v>
      </c>
      <c r="B16" s="1">
        <f t="shared" si="22"/>
        <v>6</v>
      </c>
      <c r="C16" s="1">
        <v>215.4</v>
      </c>
      <c r="D16" s="1">
        <f t="shared" si="1"/>
        <v>215.4</v>
      </c>
      <c r="E16" s="1">
        <f t="shared" si="23"/>
        <v>215</v>
      </c>
      <c r="F16" s="1">
        <f t="shared" si="24"/>
        <v>215</v>
      </c>
      <c r="H16" s="1">
        <f t="shared" si="25"/>
        <v>0</v>
      </c>
      <c r="I16" s="1">
        <v>353.8</v>
      </c>
      <c r="J16" s="1">
        <f t="shared" si="5"/>
        <v>353.8</v>
      </c>
      <c r="K16" s="1">
        <f t="shared" ref="K16:K20" si="32">TRUNC(J16)</f>
        <v>353</v>
      </c>
      <c r="L16" s="1">
        <f t="shared" ref="L16:L20" si="33">INT(J16)</f>
        <v>353</v>
      </c>
      <c r="N16" s="1">
        <v>19.3</v>
      </c>
      <c r="O16" s="1">
        <f t="shared" si="26"/>
        <v>21</v>
      </c>
      <c r="Q16" s="1">
        <v>19.3</v>
      </c>
      <c r="R16" s="1">
        <f t="shared" si="27"/>
        <v>20</v>
      </c>
      <c r="S16" s="1">
        <v>353.8</v>
      </c>
      <c r="T16" s="1">
        <f t="shared" si="8"/>
        <v>353.8</v>
      </c>
      <c r="U16" s="1">
        <f t="shared" ref="U16:U27" si="34">TRUNC(T16)</f>
        <v>353</v>
      </c>
      <c r="V16" s="1">
        <f t="shared" ref="V16:V27" si="35">INT(T16)</f>
        <v>353</v>
      </c>
      <c r="W16" s="1">
        <v>19.3</v>
      </c>
      <c r="X16" s="1">
        <f t="shared" si="28"/>
        <v>21</v>
      </c>
      <c r="Y16" s="1">
        <v>19.3</v>
      </c>
      <c r="Z16" s="1">
        <f t="shared" si="29"/>
        <v>20</v>
      </c>
      <c r="AA16" s="1">
        <v>353.8</v>
      </c>
      <c r="AB16" s="1">
        <f t="shared" si="21"/>
        <v>373.8</v>
      </c>
      <c r="AC16" s="1">
        <f t="shared" ref="AC16:AC27" si="36">TRUNC(AB16)</f>
        <v>373</v>
      </c>
      <c r="AD16" s="1">
        <f t="shared" ref="AD16:AD27" si="37">INT(AB16)</f>
        <v>373</v>
      </c>
      <c r="AF16" s="1">
        <v>19.3</v>
      </c>
      <c r="AG16" s="1">
        <f t="shared" si="30"/>
        <v>21</v>
      </c>
      <c r="AI16" s="1">
        <v>19.3</v>
      </c>
      <c r="AJ16" s="1">
        <f t="shared" si="31"/>
        <v>20</v>
      </c>
    </row>
    <row r="17" spans="1:36">
      <c r="A17" s="1">
        <v>323.10000000000002</v>
      </c>
      <c r="B17" s="1">
        <f t="shared" ref="B17:B53" si="38">A17*$B$1+A17</f>
        <v>323.10000000000002</v>
      </c>
      <c r="C17" s="1">
        <f t="shared" ref="C17:C20" si="39">TRUNC(B17)</f>
        <v>323</v>
      </c>
      <c r="D17" s="1">
        <f t="shared" ref="D17:D20" si="40">INT(B17)</f>
        <v>323</v>
      </c>
      <c r="E17" s="1">
        <v>16.100000000000001</v>
      </c>
      <c r="F17" s="1">
        <f t="shared" ref="F17:F24" si="41">ODD(E17)</f>
        <v>17</v>
      </c>
      <c r="G17" s="1">
        <v>16.100000000000001</v>
      </c>
      <c r="H17" s="1">
        <f t="shared" si="25"/>
        <v>18</v>
      </c>
      <c r="I17" s="1">
        <v>323.10000000000002</v>
      </c>
      <c r="J17" s="1">
        <f t="shared" si="5"/>
        <v>323.10000000000002</v>
      </c>
      <c r="K17" s="1">
        <f t="shared" si="32"/>
        <v>323</v>
      </c>
      <c r="L17" s="1">
        <f t="shared" si="33"/>
        <v>323</v>
      </c>
      <c r="N17" s="1">
        <v>16.100000000000001</v>
      </c>
      <c r="O17" s="1">
        <f t="shared" si="26"/>
        <v>17</v>
      </c>
      <c r="Q17" s="1">
        <v>16.100000000000001</v>
      </c>
      <c r="R17" s="1">
        <f t="shared" si="27"/>
        <v>18</v>
      </c>
      <c r="S17" s="1">
        <v>323.10000000000002</v>
      </c>
      <c r="T17" s="1">
        <f t="shared" si="8"/>
        <v>323.10000000000002</v>
      </c>
      <c r="U17" s="1">
        <f t="shared" si="34"/>
        <v>323</v>
      </c>
      <c r="V17" s="1">
        <f t="shared" si="35"/>
        <v>323</v>
      </c>
      <c r="W17" s="1">
        <v>16.100000000000001</v>
      </c>
      <c r="X17" s="1">
        <f t="shared" si="28"/>
        <v>17</v>
      </c>
      <c r="Y17" s="1">
        <v>16.100000000000001</v>
      </c>
      <c r="Z17" s="1">
        <f t="shared" si="29"/>
        <v>18</v>
      </c>
      <c r="AA17" s="1">
        <v>323.10000000000002</v>
      </c>
      <c r="AB17" s="1">
        <f t="shared" si="21"/>
        <v>341.1</v>
      </c>
      <c r="AC17" s="1">
        <f t="shared" si="36"/>
        <v>341</v>
      </c>
      <c r="AD17" s="1">
        <f t="shared" si="37"/>
        <v>341</v>
      </c>
      <c r="AF17" s="1">
        <v>16.100000000000001</v>
      </c>
      <c r="AG17" s="1">
        <f t="shared" si="30"/>
        <v>17</v>
      </c>
      <c r="AI17" s="1">
        <v>16.100000000000001</v>
      </c>
      <c r="AJ17" s="1">
        <f t="shared" si="31"/>
        <v>18</v>
      </c>
    </row>
    <row r="18" spans="1:36">
      <c r="A18" s="1">
        <v>315.39999999999998</v>
      </c>
      <c r="B18" s="1">
        <f t="shared" si="38"/>
        <v>315.39999999999998</v>
      </c>
      <c r="C18" s="1">
        <f t="shared" si="39"/>
        <v>315</v>
      </c>
      <c r="D18" s="1">
        <f t="shared" si="40"/>
        <v>315</v>
      </c>
      <c r="E18" s="1">
        <v>12</v>
      </c>
      <c r="F18" s="1">
        <f t="shared" si="41"/>
        <v>13</v>
      </c>
      <c r="G18" s="1">
        <v>12</v>
      </c>
      <c r="H18" s="1">
        <f t="shared" si="25"/>
        <v>12</v>
      </c>
      <c r="I18" s="1">
        <v>315.39999999999998</v>
      </c>
      <c r="J18" s="1">
        <f t="shared" si="5"/>
        <v>315.39999999999998</v>
      </c>
      <c r="K18" s="1">
        <f t="shared" si="32"/>
        <v>315</v>
      </c>
      <c r="L18" s="1">
        <f t="shared" si="33"/>
        <v>315</v>
      </c>
      <c r="N18" s="1">
        <v>12</v>
      </c>
      <c r="O18" s="1">
        <f t="shared" si="26"/>
        <v>13</v>
      </c>
      <c r="Q18" s="1">
        <v>12</v>
      </c>
      <c r="R18" s="1">
        <f t="shared" si="27"/>
        <v>12</v>
      </c>
      <c r="S18" s="1">
        <v>315.39999999999998</v>
      </c>
      <c r="T18" s="1">
        <f t="shared" si="8"/>
        <v>315.39999999999998</v>
      </c>
      <c r="U18" s="1">
        <f t="shared" si="34"/>
        <v>315</v>
      </c>
      <c r="V18" s="1">
        <f t="shared" si="35"/>
        <v>315</v>
      </c>
      <c r="W18" s="1">
        <v>12</v>
      </c>
      <c r="X18" s="1">
        <f t="shared" si="28"/>
        <v>13</v>
      </c>
      <c r="Y18" s="1">
        <v>12</v>
      </c>
      <c r="Z18" s="1">
        <f t="shared" si="29"/>
        <v>12</v>
      </c>
      <c r="AA18" s="1">
        <v>315.39999999999998</v>
      </c>
      <c r="AB18" s="1">
        <f t="shared" si="21"/>
        <v>327.39999999999998</v>
      </c>
      <c r="AC18" s="1">
        <f t="shared" si="36"/>
        <v>327</v>
      </c>
      <c r="AD18" s="1">
        <f t="shared" si="37"/>
        <v>327</v>
      </c>
      <c r="AF18" s="1">
        <v>12</v>
      </c>
      <c r="AG18" s="1">
        <f t="shared" si="30"/>
        <v>13</v>
      </c>
      <c r="AI18" s="1">
        <v>12</v>
      </c>
      <c r="AJ18" s="1">
        <f t="shared" si="31"/>
        <v>12</v>
      </c>
    </row>
    <row r="19" spans="1:36">
      <c r="A19" s="1">
        <v>230.8</v>
      </c>
      <c r="B19" s="1">
        <f t="shared" si="38"/>
        <v>230.8</v>
      </c>
      <c r="C19" s="1">
        <f t="shared" si="39"/>
        <v>230</v>
      </c>
      <c r="D19" s="1">
        <f t="shared" si="40"/>
        <v>230</v>
      </c>
      <c r="E19" s="1">
        <v>9.3000000000000007</v>
      </c>
      <c r="F19" s="1">
        <f t="shared" si="41"/>
        <v>11</v>
      </c>
      <c r="G19" s="1">
        <v>9.3000000000000007</v>
      </c>
      <c r="H19" s="1">
        <f t="shared" si="25"/>
        <v>10</v>
      </c>
      <c r="I19" s="1">
        <v>230.8</v>
      </c>
      <c r="J19" s="1">
        <f t="shared" si="5"/>
        <v>230.8</v>
      </c>
      <c r="K19" s="1">
        <f t="shared" si="32"/>
        <v>230</v>
      </c>
      <c r="L19" s="1">
        <f t="shared" si="33"/>
        <v>230</v>
      </c>
      <c r="N19" s="1">
        <v>9.3000000000000007</v>
      </c>
      <c r="O19" s="1">
        <f t="shared" si="26"/>
        <v>11</v>
      </c>
      <c r="Q19" s="1">
        <v>9.3000000000000007</v>
      </c>
      <c r="R19" s="1">
        <f t="shared" si="27"/>
        <v>10</v>
      </c>
      <c r="S19" s="1">
        <v>230.8</v>
      </c>
      <c r="T19" s="1">
        <f t="shared" si="8"/>
        <v>230.8</v>
      </c>
      <c r="U19" s="1">
        <f t="shared" si="34"/>
        <v>230</v>
      </c>
      <c r="V19" s="1">
        <f t="shared" si="35"/>
        <v>230</v>
      </c>
      <c r="W19" s="1">
        <v>9.3000000000000007</v>
      </c>
      <c r="X19" s="1">
        <f t="shared" si="28"/>
        <v>11</v>
      </c>
      <c r="Y19" s="1">
        <v>9.3000000000000007</v>
      </c>
      <c r="Z19" s="1">
        <f t="shared" si="29"/>
        <v>10</v>
      </c>
      <c r="AA19" s="1">
        <v>230.8</v>
      </c>
      <c r="AB19" s="1">
        <f t="shared" si="21"/>
        <v>240.8</v>
      </c>
      <c r="AC19" s="1">
        <f t="shared" si="36"/>
        <v>240</v>
      </c>
      <c r="AD19" s="1">
        <f t="shared" si="37"/>
        <v>240</v>
      </c>
      <c r="AF19" s="1">
        <v>9.3000000000000007</v>
      </c>
      <c r="AG19" s="1">
        <f t="shared" si="30"/>
        <v>11</v>
      </c>
      <c r="AI19" s="1">
        <v>9.3000000000000007</v>
      </c>
      <c r="AJ19" s="1">
        <f t="shared" si="31"/>
        <v>10</v>
      </c>
    </row>
    <row r="20" spans="1:36">
      <c r="A20" s="1">
        <v>215.4</v>
      </c>
      <c r="B20" s="1">
        <f t="shared" si="38"/>
        <v>215.4</v>
      </c>
      <c r="C20" s="1">
        <f t="shared" si="39"/>
        <v>215</v>
      </c>
      <c r="D20" s="1">
        <f t="shared" si="40"/>
        <v>215</v>
      </c>
      <c r="E20" s="1">
        <v>6</v>
      </c>
      <c r="F20" s="1">
        <f t="shared" si="41"/>
        <v>7</v>
      </c>
      <c r="G20" s="1">
        <v>6</v>
      </c>
      <c r="H20" s="1">
        <f t="shared" si="25"/>
        <v>6</v>
      </c>
      <c r="I20" s="1">
        <v>215.4</v>
      </c>
      <c r="J20" s="1">
        <f t="shared" si="5"/>
        <v>215.4</v>
      </c>
      <c r="K20" s="1">
        <f t="shared" si="32"/>
        <v>215</v>
      </c>
      <c r="L20" s="1">
        <f t="shared" si="33"/>
        <v>215</v>
      </c>
      <c r="N20" s="1">
        <v>6</v>
      </c>
      <c r="O20" s="1">
        <f t="shared" si="26"/>
        <v>7</v>
      </c>
      <c r="Q20" s="1">
        <v>6</v>
      </c>
      <c r="R20" s="1">
        <f t="shared" si="27"/>
        <v>6</v>
      </c>
      <c r="S20" s="1">
        <v>215.4</v>
      </c>
      <c r="T20" s="1">
        <f t="shared" si="8"/>
        <v>215.4</v>
      </c>
      <c r="U20" s="1">
        <f t="shared" si="34"/>
        <v>215</v>
      </c>
      <c r="V20" s="1">
        <f t="shared" si="35"/>
        <v>215</v>
      </c>
      <c r="W20" s="1">
        <v>6</v>
      </c>
      <c r="X20" s="1">
        <f t="shared" si="28"/>
        <v>7</v>
      </c>
      <c r="Y20" s="1">
        <v>6</v>
      </c>
      <c r="Z20" s="1">
        <f t="shared" si="29"/>
        <v>6</v>
      </c>
      <c r="AA20" s="1">
        <v>215.4</v>
      </c>
      <c r="AB20" s="1">
        <f t="shared" si="21"/>
        <v>221.4</v>
      </c>
      <c r="AC20" s="1">
        <f t="shared" si="36"/>
        <v>221</v>
      </c>
      <c r="AD20" s="1">
        <f t="shared" si="37"/>
        <v>221</v>
      </c>
      <c r="AF20" s="1">
        <v>6</v>
      </c>
      <c r="AG20" s="1">
        <f t="shared" si="30"/>
        <v>7</v>
      </c>
      <c r="AI20" s="1">
        <v>6</v>
      </c>
      <c r="AJ20" s="1">
        <f t="shared" si="31"/>
        <v>6</v>
      </c>
    </row>
    <row r="21" spans="1:36">
      <c r="A21" s="1">
        <v>-15.4</v>
      </c>
      <c r="B21" s="1">
        <f t="shared" si="38"/>
        <v>-15.4</v>
      </c>
      <c r="C21" s="1">
        <f t="shared" ref="C21:C27" si="42">TRUNC(B21)</f>
        <v>-15</v>
      </c>
      <c r="D21" s="1">
        <f t="shared" ref="D21:D27" si="43">INT(B21)</f>
        <v>-16</v>
      </c>
      <c r="E21" s="1">
        <v>0</v>
      </c>
      <c r="F21" s="1">
        <f t="shared" si="41"/>
        <v>1</v>
      </c>
      <c r="G21" s="1">
        <v>0</v>
      </c>
      <c r="H21" s="1">
        <f t="shared" si="25"/>
        <v>0</v>
      </c>
      <c r="I21" s="1">
        <v>-15.4</v>
      </c>
      <c r="J21" s="1">
        <f t="shared" si="5"/>
        <v>-15.4</v>
      </c>
      <c r="K21" s="1">
        <f t="shared" ref="K21:K27" si="44">TRUNC(J21)</f>
        <v>-15</v>
      </c>
      <c r="L21" s="1">
        <f t="shared" ref="L21:L27" si="45">INT(J21)</f>
        <v>-16</v>
      </c>
      <c r="N21" s="1">
        <v>0</v>
      </c>
      <c r="O21" s="1">
        <f t="shared" si="26"/>
        <v>1</v>
      </c>
      <c r="Q21" s="1">
        <v>0</v>
      </c>
      <c r="R21" s="1">
        <f t="shared" si="27"/>
        <v>0</v>
      </c>
      <c r="S21" s="1">
        <v>-15.4</v>
      </c>
      <c r="T21" s="1">
        <f t="shared" si="8"/>
        <v>-15.4</v>
      </c>
      <c r="U21" s="1">
        <f t="shared" si="34"/>
        <v>-15</v>
      </c>
      <c r="V21" s="1">
        <f t="shared" si="35"/>
        <v>-16</v>
      </c>
      <c r="W21" s="1">
        <v>0</v>
      </c>
      <c r="X21" s="1">
        <f t="shared" si="28"/>
        <v>1</v>
      </c>
      <c r="Y21" s="1">
        <v>0</v>
      </c>
      <c r="Z21" s="1">
        <f t="shared" si="29"/>
        <v>0</v>
      </c>
      <c r="AA21" s="1">
        <v>-15.4</v>
      </c>
      <c r="AB21" s="1">
        <f t="shared" si="21"/>
        <v>-15.4</v>
      </c>
      <c r="AC21" s="1">
        <f t="shared" si="36"/>
        <v>-15</v>
      </c>
      <c r="AD21" s="1">
        <f t="shared" si="37"/>
        <v>-16</v>
      </c>
      <c r="AF21" s="1">
        <v>0</v>
      </c>
      <c r="AG21" s="1">
        <f t="shared" si="30"/>
        <v>1</v>
      </c>
      <c r="AI21" s="1">
        <v>0</v>
      </c>
      <c r="AJ21" s="1">
        <f t="shared" si="31"/>
        <v>0</v>
      </c>
    </row>
    <row r="22" spans="1:36">
      <c r="A22" s="1">
        <v>-46.2</v>
      </c>
      <c r="B22" s="1">
        <f t="shared" si="38"/>
        <v>-46.2</v>
      </c>
      <c r="C22" s="1">
        <f t="shared" si="42"/>
        <v>-46</v>
      </c>
      <c r="D22" s="1">
        <f t="shared" si="43"/>
        <v>-47</v>
      </c>
      <c r="E22" s="1">
        <v>-3.4</v>
      </c>
      <c r="F22" s="1">
        <f t="shared" si="41"/>
        <v>-5</v>
      </c>
      <c r="G22" s="1">
        <v>-3.4</v>
      </c>
      <c r="H22" s="1">
        <f t="shared" si="25"/>
        <v>-4</v>
      </c>
      <c r="I22" s="1">
        <v>-46.2</v>
      </c>
      <c r="J22" s="1">
        <f t="shared" si="5"/>
        <v>-46.2</v>
      </c>
      <c r="K22" s="1">
        <f t="shared" si="44"/>
        <v>-46</v>
      </c>
      <c r="L22" s="1">
        <f t="shared" si="45"/>
        <v>-47</v>
      </c>
      <c r="N22" s="1">
        <v>-3.4</v>
      </c>
      <c r="O22" s="1">
        <f t="shared" si="26"/>
        <v>-5</v>
      </c>
      <c r="Q22" s="1">
        <v>-3.4</v>
      </c>
      <c r="R22" s="1">
        <f t="shared" si="27"/>
        <v>-4</v>
      </c>
      <c r="S22" s="1">
        <v>-46.2</v>
      </c>
      <c r="T22" s="1">
        <f t="shared" si="8"/>
        <v>-46.2</v>
      </c>
      <c r="U22" s="1">
        <f t="shared" si="34"/>
        <v>-46</v>
      </c>
      <c r="V22" s="1">
        <f t="shared" si="35"/>
        <v>-47</v>
      </c>
      <c r="W22" s="1">
        <v>-3.4</v>
      </c>
      <c r="X22" s="1">
        <f t="shared" si="28"/>
        <v>-5</v>
      </c>
      <c r="Y22" s="1">
        <v>-3.4</v>
      </c>
      <c r="Z22" s="1">
        <f t="shared" si="29"/>
        <v>-4</v>
      </c>
      <c r="AA22" s="1">
        <v>-46.2</v>
      </c>
      <c r="AB22" s="1">
        <f t="shared" si="21"/>
        <v>-50.2</v>
      </c>
      <c r="AC22" s="1">
        <f t="shared" si="36"/>
        <v>-50</v>
      </c>
      <c r="AD22" s="1">
        <f t="shared" si="37"/>
        <v>-51</v>
      </c>
      <c r="AF22" s="1">
        <v>-3.4</v>
      </c>
      <c r="AG22" s="1">
        <f t="shared" si="30"/>
        <v>-5</v>
      </c>
      <c r="AI22" s="1">
        <v>-3.4</v>
      </c>
      <c r="AJ22" s="1">
        <f t="shared" si="31"/>
        <v>-4</v>
      </c>
    </row>
    <row r="23" spans="1:36">
      <c r="A23" s="1">
        <v>-46.2</v>
      </c>
      <c r="B23" s="1">
        <f t="shared" si="38"/>
        <v>-46.2</v>
      </c>
      <c r="C23" s="1">
        <f t="shared" si="42"/>
        <v>-46</v>
      </c>
      <c r="D23" s="1">
        <f t="shared" si="43"/>
        <v>-47</v>
      </c>
      <c r="E23" s="1">
        <v>-6</v>
      </c>
      <c r="F23" s="1">
        <f t="shared" si="41"/>
        <v>-7</v>
      </c>
      <c r="G23" s="1">
        <v>-6</v>
      </c>
      <c r="H23" s="1">
        <f t="shared" si="25"/>
        <v>-6</v>
      </c>
      <c r="I23" s="1">
        <v>-46.2</v>
      </c>
      <c r="J23" s="1">
        <f t="shared" si="5"/>
        <v>-46.2</v>
      </c>
      <c r="K23" s="1">
        <f t="shared" si="44"/>
        <v>-46</v>
      </c>
      <c r="L23" s="1">
        <f t="shared" si="45"/>
        <v>-47</v>
      </c>
      <c r="N23" s="1">
        <v>-6</v>
      </c>
      <c r="O23" s="1">
        <f t="shared" si="26"/>
        <v>-7</v>
      </c>
      <c r="Q23" s="1">
        <v>-6</v>
      </c>
      <c r="R23" s="1">
        <f t="shared" si="27"/>
        <v>-6</v>
      </c>
      <c r="S23" s="1">
        <v>-46.2</v>
      </c>
      <c r="T23" s="1">
        <f t="shared" si="8"/>
        <v>-46.2</v>
      </c>
      <c r="U23" s="1">
        <f t="shared" si="34"/>
        <v>-46</v>
      </c>
      <c r="V23" s="1">
        <f t="shared" si="35"/>
        <v>-47</v>
      </c>
      <c r="W23" s="1">
        <v>-6</v>
      </c>
      <c r="X23" s="1">
        <f t="shared" si="28"/>
        <v>-7</v>
      </c>
      <c r="Y23" s="1">
        <v>-6</v>
      </c>
      <c r="Z23" s="1">
        <f t="shared" si="29"/>
        <v>-6</v>
      </c>
      <c r="AA23" s="1">
        <v>-46.2</v>
      </c>
      <c r="AB23" s="1">
        <f t="shared" si="21"/>
        <v>-52.2</v>
      </c>
      <c r="AC23" s="1">
        <f t="shared" si="36"/>
        <v>-52</v>
      </c>
      <c r="AD23" s="1">
        <f t="shared" si="37"/>
        <v>-53</v>
      </c>
      <c r="AF23" s="1">
        <v>-6</v>
      </c>
      <c r="AG23" s="1">
        <f t="shared" si="30"/>
        <v>-7</v>
      </c>
      <c r="AI23" s="1">
        <v>-6</v>
      </c>
      <c r="AJ23" s="1">
        <f t="shared" si="31"/>
        <v>-6</v>
      </c>
    </row>
    <row r="24" spans="1:36">
      <c r="A24" s="1">
        <v>-123.1</v>
      </c>
      <c r="B24" s="1">
        <f t="shared" si="38"/>
        <v>-123.1</v>
      </c>
      <c r="C24" s="1">
        <f t="shared" si="42"/>
        <v>-123</v>
      </c>
      <c r="D24" s="1">
        <f t="shared" si="43"/>
        <v>-124</v>
      </c>
      <c r="E24" s="1">
        <v>-9</v>
      </c>
      <c r="F24" s="1">
        <f t="shared" si="41"/>
        <v>-9</v>
      </c>
      <c r="G24" s="1">
        <v>-9</v>
      </c>
      <c r="H24" s="1">
        <f t="shared" si="25"/>
        <v>-10</v>
      </c>
      <c r="I24" s="1">
        <v>-123.1</v>
      </c>
      <c r="J24" s="1">
        <f t="shared" si="5"/>
        <v>-123.1</v>
      </c>
      <c r="K24" s="1">
        <f t="shared" si="44"/>
        <v>-123</v>
      </c>
      <c r="L24" s="1">
        <f t="shared" si="45"/>
        <v>-124</v>
      </c>
      <c r="N24" s="1">
        <v>-9</v>
      </c>
      <c r="O24" s="1">
        <f t="shared" si="26"/>
        <v>-9</v>
      </c>
      <c r="Q24" s="1">
        <v>-9</v>
      </c>
      <c r="R24" s="1">
        <f t="shared" si="27"/>
        <v>-10</v>
      </c>
      <c r="S24" s="1">
        <v>-123.1</v>
      </c>
      <c r="T24" s="1">
        <f t="shared" si="8"/>
        <v>-123.1</v>
      </c>
      <c r="U24" s="1">
        <f t="shared" si="34"/>
        <v>-123</v>
      </c>
      <c r="V24" s="1">
        <f t="shared" si="35"/>
        <v>-124</v>
      </c>
      <c r="W24" s="1">
        <v>-9</v>
      </c>
      <c r="X24" s="1">
        <f t="shared" si="28"/>
        <v>-9</v>
      </c>
      <c r="Y24" s="1">
        <v>-9</v>
      </c>
      <c r="Z24" s="1">
        <f t="shared" si="29"/>
        <v>-10</v>
      </c>
      <c r="AA24" s="1">
        <v>-123.1</v>
      </c>
      <c r="AB24" s="1">
        <f t="shared" si="21"/>
        <v>-133.1</v>
      </c>
      <c r="AC24" s="1">
        <f t="shared" si="36"/>
        <v>-133</v>
      </c>
      <c r="AD24" s="1">
        <f t="shared" si="37"/>
        <v>-134</v>
      </c>
      <c r="AF24" s="1">
        <v>-9</v>
      </c>
      <c r="AG24" s="1">
        <f t="shared" si="30"/>
        <v>-9</v>
      </c>
      <c r="AI24" s="1">
        <v>-9</v>
      </c>
      <c r="AJ24" s="1">
        <f t="shared" si="31"/>
        <v>-10</v>
      </c>
    </row>
    <row r="25" spans="1:36">
      <c r="A25" s="1">
        <v>-123.1</v>
      </c>
      <c r="B25" s="1">
        <f t="shared" si="38"/>
        <v>-123.1</v>
      </c>
      <c r="C25" s="1">
        <f t="shared" si="42"/>
        <v>-123</v>
      </c>
      <c r="D25" s="1">
        <f t="shared" si="43"/>
        <v>-124</v>
      </c>
      <c r="I25" s="1">
        <v>-123.1</v>
      </c>
      <c r="J25" s="1">
        <f t="shared" si="5"/>
        <v>-123.1</v>
      </c>
      <c r="K25" s="1">
        <f t="shared" si="44"/>
        <v>-123</v>
      </c>
      <c r="L25" s="1">
        <f t="shared" si="45"/>
        <v>-124</v>
      </c>
      <c r="S25" s="1">
        <v>-123.1</v>
      </c>
      <c r="T25" s="1">
        <f t="shared" si="8"/>
        <v>-123.1</v>
      </c>
      <c r="U25" s="1">
        <f t="shared" si="34"/>
        <v>-123</v>
      </c>
      <c r="V25" s="1">
        <f t="shared" si="35"/>
        <v>-124</v>
      </c>
      <c r="AA25" s="1">
        <v>-123.1</v>
      </c>
      <c r="AB25" s="1">
        <f t="shared" si="21"/>
        <v>-123.1</v>
      </c>
      <c r="AC25" s="1">
        <f t="shared" si="36"/>
        <v>-123</v>
      </c>
      <c r="AD25" s="1">
        <f t="shared" si="37"/>
        <v>-124</v>
      </c>
    </row>
    <row r="26" spans="1:36">
      <c r="A26" s="1">
        <v>-284.60000000000002</v>
      </c>
      <c r="B26" s="1">
        <f t="shared" si="38"/>
        <v>-284.60000000000002</v>
      </c>
      <c r="C26" s="1">
        <f t="shared" si="42"/>
        <v>-284</v>
      </c>
      <c r="D26" s="1">
        <f t="shared" si="43"/>
        <v>-285</v>
      </c>
      <c r="I26" s="1">
        <v>-284.60000000000002</v>
      </c>
      <c r="J26" s="1">
        <f t="shared" si="5"/>
        <v>-284.60000000000002</v>
      </c>
      <c r="K26" s="1">
        <f t="shared" si="44"/>
        <v>-284</v>
      </c>
      <c r="L26" s="1">
        <f t="shared" si="45"/>
        <v>-285</v>
      </c>
      <c r="S26" s="1">
        <v>-284.60000000000002</v>
      </c>
      <c r="T26" s="1">
        <f t="shared" si="8"/>
        <v>-284.60000000000002</v>
      </c>
      <c r="U26" s="1">
        <f t="shared" si="34"/>
        <v>-284</v>
      </c>
      <c r="V26" s="1">
        <f t="shared" si="35"/>
        <v>-285</v>
      </c>
      <c r="AA26" s="1">
        <v>-284.60000000000002</v>
      </c>
      <c r="AB26" s="1">
        <f t="shared" si="21"/>
        <v>-284.60000000000002</v>
      </c>
      <c r="AC26" s="1">
        <f t="shared" si="36"/>
        <v>-284</v>
      </c>
      <c r="AD26" s="1">
        <f t="shared" si="37"/>
        <v>-285</v>
      </c>
    </row>
    <row r="27" spans="1:36">
      <c r="A27" s="1">
        <v>-446.2</v>
      </c>
      <c r="B27" s="1">
        <f t="shared" si="38"/>
        <v>-446.2</v>
      </c>
      <c r="C27" s="1">
        <f t="shared" si="42"/>
        <v>-446</v>
      </c>
      <c r="D27" s="1">
        <f t="shared" si="43"/>
        <v>-447</v>
      </c>
      <c r="I27" s="1">
        <v>-446.2</v>
      </c>
      <c r="J27" s="1">
        <f t="shared" si="5"/>
        <v>-446.2</v>
      </c>
      <c r="K27" s="1">
        <f t="shared" si="44"/>
        <v>-446</v>
      </c>
      <c r="L27" s="1">
        <f t="shared" si="45"/>
        <v>-447</v>
      </c>
      <c r="S27" s="1">
        <v>-446.2</v>
      </c>
      <c r="T27" s="1">
        <f t="shared" si="8"/>
        <v>-446.2</v>
      </c>
      <c r="U27" s="1">
        <f t="shared" si="34"/>
        <v>-446</v>
      </c>
      <c r="V27" s="1">
        <f t="shared" si="35"/>
        <v>-447</v>
      </c>
      <c r="AA27" s="1">
        <v>-446.2</v>
      </c>
      <c r="AB27" s="1">
        <f t="shared" si="21"/>
        <v>-446.2</v>
      </c>
      <c r="AC27" s="1">
        <f t="shared" si="36"/>
        <v>-446</v>
      </c>
      <c r="AD27" s="1">
        <f t="shared" si="37"/>
        <v>-447</v>
      </c>
    </row>
    <row r="28" spans="1:36">
      <c r="A28" s="1">
        <v>361.5</v>
      </c>
      <c r="B28" s="1">
        <f t="shared" si="38"/>
        <v>361.5</v>
      </c>
      <c r="C28" s="1">
        <f>TRUNC(B28)</f>
        <v>361</v>
      </c>
      <c r="D28" s="1">
        <f>INT(B28)</f>
        <v>361</v>
      </c>
      <c r="E28" s="1">
        <v>22</v>
      </c>
      <c r="F28" s="1">
        <f t="shared" ref="F28:F37" si="46">ODD(E28)</f>
        <v>23</v>
      </c>
      <c r="G28" s="1">
        <v>22</v>
      </c>
      <c r="H28" s="1">
        <f t="shared" ref="H28:H37" si="47">EVEN(G28)</f>
        <v>22</v>
      </c>
      <c r="I28" s="1">
        <v>361.5</v>
      </c>
      <c r="J28" s="1">
        <f t="shared" si="5"/>
        <v>361.5</v>
      </c>
      <c r="K28" s="1">
        <f>TRUNC(J28)</f>
        <v>361</v>
      </c>
      <c r="L28" s="1">
        <f>INT(J28)</f>
        <v>361</v>
      </c>
      <c r="N28" s="1">
        <v>22</v>
      </c>
      <c r="O28" s="1">
        <f t="shared" ref="O28:O37" si="48">ODD(N28)</f>
        <v>23</v>
      </c>
      <c r="Q28" s="1">
        <v>22</v>
      </c>
      <c r="R28" s="1">
        <f t="shared" ref="R28:R37" si="49">EVEN(Q28)</f>
        <v>22</v>
      </c>
      <c r="S28" s="1">
        <v>361.5</v>
      </c>
      <c r="T28" s="1">
        <f t="shared" si="8"/>
        <v>361.5</v>
      </c>
      <c r="U28" s="1">
        <f>TRUNC(T28)</f>
        <v>361</v>
      </c>
      <c r="V28" s="1">
        <f>INT(T28)</f>
        <v>361</v>
      </c>
      <c r="W28" s="1">
        <v>22</v>
      </c>
      <c r="X28" s="1">
        <f t="shared" ref="X28:X37" si="50">ODD(W28)</f>
        <v>23</v>
      </c>
      <c r="Y28" s="1">
        <v>22</v>
      </c>
      <c r="Z28" s="1">
        <f t="shared" ref="Z28:Z37" si="51">EVEN(Y28)</f>
        <v>22</v>
      </c>
      <c r="AA28" s="1">
        <v>361.5</v>
      </c>
      <c r="AB28" s="1">
        <f t="shared" si="21"/>
        <v>383.5</v>
      </c>
      <c r="AC28" s="1">
        <f>TRUNC(AB28)</f>
        <v>383</v>
      </c>
      <c r="AD28" s="1">
        <f>INT(AB28)</f>
        <v>383</v>
      </c>
      <c r="AF28" s="1">
        <v>22</v>
      </c>
      <c r="AG28" s="1">
        <f t="shared" ref="AG28:AG37" si="52">ODD(AF28)</f>
        <v>23</v>
      </c>
      <c r="AI28" s="1">
        <v>22</v>
      </c>
      <c r="AJ28" s="1">
        <f t="shared" ref="AJ28:AJ37" si="53">EVEN(AI28)</f>
        <v>22</v>
      </c>
    </row>
    <row r="29" spans="1:36">
      <c r="A29" s="1">
        <v>353.8</v>
      </c>
      <c r="B29" s="1">
        <f t="shared" si="38"/>
        <v>353.8</v>
      </c>
      <c r="C29" s="1">
        <f t="shared" ref="C29:C40" si="54">TRUNC(B29)</f>
        <v>353</v>
      </c>
      <c r="D29" s="1">
        <f t="shared" ref="D29:D40" si="55">INT(B29)</f>
        <v>353</v>
      </c>
      <c r="E29" s="1">
        <v>19.3</v>
      </c>
      <c r="F29" s="1">
        <f t="shared" si="46"/>
        <v>21</v>
      </c>
      <c r="G29" s="1">
        <v>19.3</v>
      </c>
      <c r="H29" s="1">
        <f t="shared" si="47"/>
        <v>20</v>
      </c>
      <c r="I29" s="1">
        <v>353.8</v>
      </c>
      <c r="J29" s="1">
        <f t="shared" si="5"/>
        <v>353.8</v>
      </c>
      <c r="K29" s="1">
        <f t="shared" ref="K29:K40" si="56">TRUNC(J29)</f>
        <v>353</v>
      </c>
      <c r="L29" s="1">
        <f t="shared" ref="L29:L40" si="57">INT(J29)</f>
        <v>353</v>
      </c>
      <c r="N29" s="1">
        <v>19.3</v>
      </c>
      <c r="O29" s="1">
        <f t="shared" si="48"/>
        <v>21</v>
      </c>
      <c r="Q29" s="1">
        <v>19.3</v>
      </c>
      <c r="R29" s="1">
        <f t="shared" si="49"/>
        <v>20</v>
      </c>
      <c r="S29" s="1">
        <v>353.8</v>
      </c>
      <c r="T29" s="1">
        <f t="shared" si="8"/>
        <v>353.8</v>
      </c>
      <c r="U29" s="1">
        <f t="shared" ref="U29:U40" si="58">TRUNC(T29)</f>
        <v>353</v>
      </c>
      <c r="V29" s="1">
        <f t="shared" ref="V29:V40" si="59">INT(T29)</f>
        <v>353</v>
      </c>
      <c r="W29" s="1">
        <v>19.3</v>
      </c>
      <c r="X29" s="1">
        <f t="shared" si="50"/>
        <v>21</v>
      </c>
      <c r="Y29" s="1">
        <v>19.3</v>
      </c>
      <c r="Z29" s="1">
        <f t="shared" si="51"/>
        <v>20</v>
      </c>
      <c r="AA29" s="1">
        <v>353.8</v>
      </c>
      <c r="AB29" s="1">
        <f t="shared" si="21"/>
        <v>373.8</v>
      </c>
      <c r="AC29" s="1">
        <f t="shared" ref="AC29:AC40" si="60">TRUNC(AB29)</f>
        <v>373</v>
      </c>
      <c r="AD29" s="1">
        <f t="shared" ref="AD29:AD40" si="61">INT(AB29)</f>
        <v>373</v>
      </c>
      <c r="AF29" s="1">
        <v>19.3</v>
      </c>
      <c r="AG29" s="1">
        <f t="shared" si="52"/>
        <v>21</v>
      </c>
      <c r="AI29" s="1">
        <v>19.3</v>
      </c>
      <c r="AJ29" s="1">
        <f t="shared" si="53"/>
        <v>20</v>
      </c>
    </row>
    <row r="30" spans="1:36">
      <c r="A30" s="1">
        <v>323.10000000000002</v>
      </c>
      <c r="B30" s="1">
        <f t="shared" si="38"/>
        <v>323.10000000000002</v>
      </c>
      <c r="C30" s="1">
        <f t="shared" si="54"/>
        <v>323</v>
      </c>
      <c r="D30" s="1">
        <f t="shared" si="55"/>
        <v>323</v>
      </c>
      <c r="E30" s="1">
        <v>16.100000000000001</v>
      </c>
      <c r="F30" s="1">
        <f t="shared" si="46"/>
        <v>17</v>
      </c>
      <c r="G30" s="1">
        <v>16.100000000000001</v>
      </c>
      <c r="H30" s="1">
        <f t="shared" si="47"/>
        <v>18</v>
      </c>
      <c r="I30" s="1">
        <v>323.10000000000002</v>
      </c>
      <c r="J30" s="1">
        <f t="shared" si="5"/>
        <v>323.10000000000002</v>
      </c>
      <c r="K30" s="1">
        <f t="shared" si="56"/>
        <v>323</v>
      </c>
      <c r="L30" s="1">
        <f t="shared" si="57"/>
        <v>323</v>
      </c>
      <c r="N30" s="1">
        <v>16.100000000000001</v>
      </c>
      <c r="O30" s="1">
        <f t="shared" si="48"/>
        <v>17</v>
      </c>
      <c r="Q30" s="1">
        <v>16.100000000000001</v>
      </c>
      <c r="R30" s="1">
        <f t="shared" si="49"/>
        <v>18</v>
      </c>
      <c r="S30" s="1">
        <v>323.10000000000002</v>
      </c>
      <c r="T30" s="1">
        <f t="shared" si="8"/>
        <v>323.10000000000002</v>
      </c>
      <c r="U30" s="1">
        <f t="shared" si="58"/>
        <v>323</v>
      </c>
      <c r="V30" s="1">
        <f t="shared" si="59"/>
        <v>323</v>
      </c>
      <c r="W30" s="1">
        <v>16.100000000000001</v>
      </c>
      <c r="X30" s="1">
        <f t="shared" si="50"/>
        <v>17</v>
      </c>
      <c r="Y30" s="1">
        <v>16.100000000000001</v>
      </c>
      <c r="Z30" s="1">
        <f t="shared" si="51"/>
        <v>18</v>
      </c>
      <c r="AA30" s="1">
        <v>323.10000000000002</v>
      </c>
      <c r="AB30" s="1">
        <f t="shared" si="21"/>
        <v>341.1</v>
      </c>
      <c r="AC30" s="1">
        <f t="shared" si="60"/>
        <v>341</v>
      </c>
      <c r="AD30" s="1">
        <f t="shared" si="61"/>
        <v>341</v>
      </c>
      <c r="AF30" s="1">
        <v>16.100000000000001</v>
      </c>
      <c r="AG30" s="1">
        <f t="shared" si="52"/>
        <v>17</v>
      </c>
      <c r="AI30" s="1">
        <v>16.100000000000001</v>
      </c>
      <c r="AJ30" s="1">
        <f t="shared" si="53"/>
        <v>18</v>
      </c>
    </row>
    <row r="31" spans="1:36">
      <c r="A31" s="1">
        <v>315.39999999999998</v>
      </c>
      <c r="B31" s="1">
        <f t="shared" si="38"/>
        <v>315.39999999999998</v>
      </c>
      <c r="C31" s="1">
        <f t="shared" si="54"/>
        <v>315</v>
      </c>
      <c r="D31" s="1">
        <f t="shared" si="55"/>
        <v>315</v>
      </c>
      <c r="E31" s="1">
        <v>12</v>
      </c>
      <c r="F31" s="1">
        <f t="shared" si="46"/>
        <v>13</v>
      </c>
      <c r="G31" s="1">
        <v>12</v>
      </c>
      <c r="H31" s="1">
        <f t="shared" si="47"/>
        <v>12</v>
      </c>
      <c r="I31" s="1">
        <v>315.39999999999998</v>
      </c>
      <c r="J31" s="1">
        <f t="shared" si="5"/>
        <v>315.39999999999998</v>
      </c>
      <c r="K31" s="1">
        <f t="shared" si="56"/>
        <v>315</v>
      </c>
      <c r="L31" s="1" t="e">
        <f ca="1">ЦЕЛЕ(J31)</f>
        <v>#NAME?</v>
      </c>
      <c r="N31" s="1">
        <v>12</v>
      </c>
      <c r="O31" s="1">
        <f t="shared" si="48"/>
        <v>13</v>
      </c>
      <c r="Q31" s="1">
        <v>12</v>
      </c>
      <c r="R31" s="1">
        <f t="shared" si="49"/>
        <v>12</v>
      </c>
      <c r="S31" s="1">
        <v>315.39999999999998</v>
      </c>
      <c r="T31" s="1">
        <f t="shared" si="8"/>
        <v>315.39999999999998</v>
      </c>
      <c r="U31" s="1">
        <f t="shared" si="58"/>
        <v>315</v>
      </c>
      <c r="V31" s="1">
        <f t="shared" si="59"/>
        <v>315</v>
      </c>
      <c r="W31" s="1">
        <v>12</v>
      </c>
      <c r="X31" s="1">
        <f t="shared" si="50"/>
        <v>13</v>
      </c>
      <c r="Y31" s="1">
        <v>12</v>
      </c>
      <c r="Z31" s="1">
        <f t="shared" si="51"/>
        <v>12</v>
      </c>
      <c r="AA31" s="1">
        <v>315.39999999999998</v>
      </c>
      <c r="AB31" s="1">
        <f t="shared" si="21"/>
        <v>327.39999999999998</v>
      </c>
      <c r="AC31" s="1">
        <f t="shared" si="60"/>
        <v>327</v>
      </c>
      <c r="AD31" s="1">
        <f t="shared" si="61"/>
        <v>327</v>
      </c>
      <c r="AF31" s="1">
        <v>12</v>
      </c>
      <c r="AG31" s="1">
        <f t="shared" si="52"/>
        <v>13</v>
      </c>
      <c r="AI31" s="1">
        <v>12</v>
      </c>
      <c r="AJ31" s="1">
        <f t="shared" si="53"/>
        <v>12</v>
      </c>
    </row>
    <row r="32" spans="1:36">
      <c r="A32" s="1">
        <v>230.8</v>
      </c>
      <c r="B32" s="1">
        <f t="shared" si="38"/>
        <v>230.8</v>
      </c>
      <c r="C32" s="1">
        <f t="shared" si="54"/>
        <v>230</v>
      </c>
      <c r="D32" s="1">
        <f t="shared" si="55"/>
        <v>230</v>
      </c>
      <c r="E32" s="1">
        <v>9.3000000000000007</v>
      </c>
      <c r="F32" s="1">
        <f t="shared" si="46"/>
        <v>11</v>
      </c>
      <c r="G32" s="1">
        <v>9.3000000000000007</v>
      </c>
      <c r="H32" s="1">
        <f t="shared" si="47"/>
        <v>10</v>
      </c>
      <c r="I32" s="1">
        <v>230.8</v>
      </c>
      <c r="J32" s="1">
        <f t="shared" si="5"/>
        <v>230.8</v>
      </c>
      <c r="K32" s="1">
        <f t="shared" si="56"/>
        <v>230</v>
      </c>
      <c r="L32" s="1">
        <f t="shared" si="57"/>
        <v>230</v>
      </c>
      <c r="N32" s="1">
        <v>9.3000000000000007</v>
      </c>
      <c r="O32" s="1">
        <f t="shared" si="48"/>
        <v>11</v>
      </c>
      <c r="Q32" s="1">
        <v>9.3000000000000007</v>
      </c>
      <c r="R32" s="1">
        <f t="shared" si="49"/>
        <v>10</v>
      </c>
      <c r="S32" s="1">
        <v>230.8</v>
      </c>
      <c r="T32" s="1">
        <f t="shared" si="8"/>
        <v>230.8</v>
      </c>
      <c r="U32" s="1">
        <f t="shared" si="58"/>
        <v>230</v>
      </c>
      <c r="V32" s="1">
        <f t="shared" si="59"/>
        <v>230</v>
      </c>
      <c r="W32" s="1">
        <v>9.3000000000000007</v>
      </c>
      <c r="X32" s="1">
        <f t="shared" si="50"/>
        <v>11</v>
      </c>
      <c r="Y32" s="1">
        <v>9.3000000000000007</v>
      </c>
      <c r="Z32" s="1">
        <f t="shared" si="51"/>
        <v>10</v>
      </c>
      <c r="AA32" s="1">
        <v>230.8</v>
      </c>
      <c r="AB32" s="1">
        <f t="shared" si="21"/>
        <v>240.8</v>
      </c>
      <c r="AC32" s="1">
        <f t="shared" si="60"/>
        <v>240</v>
      </c>
      <c r="AD32" s="1">
        <f t="shared" si="61"/>
        <v>240</v>
      </c>
      <c r="AF32" s="1">
        <v>9.3000000000000007</v>
      </c>
      <c r="AG32" s="1">
        <f t="shared" si="52"/>
        <v>11</v>
      </c>
      <c r="AI32" s="1">
        <v>9.3000000000000007</v>
      </c>
      <c r="AJ32" s="1">
        <f t="shared" si="53"/>
        <v>10</v>
      </c>
    </row>
    <row r="33" spans="1:36">
      <c r="A33" s="1">
        <v>215.4</v>
      </c>
      <c r="B33" s="1">
        <f t="shared" si="38"/>
        <v>215.4</v>
      </c>
      <c r="C33" s="1">
        <f t="shared" si="54"/>
        <v>215</v>
      </c>
      <c r="D33" s="1">
        <f t="shared" si="55"/>
        <v>215</v>
      </c>
      <c r="E33" s="1">
        <v>6</v>
      </c>
      <c r="F33" s="1">
        <f t="shared" si="46"/>
        <v>7</v>
      </c>
      <c r="G33" s="1">
        <v>6</v>
      </c>
      <c r="H33" s="1">
        <f t="shared" si="47"/>
        <v>6</v>
      </c>
      <c r="I33" s="1">
        <v>215.4</v>
      </c>
      <c r="J33" s="1">
        <f t="shared" si="5"/>
        <v>215.4</v>
      </c>
      <c r="K33" s="1">
        <f t="shared" si="56"/>
        <v>215</v>
      </c>
      <c r="L33" s="1">
        <f t="shared" si="57"/>
        <v>215</v>
      </c>
      <c r="N33" s="1">
        <v>6</v>
      </c>
      <c r="O33" s="1">
        <f t="shared" si="48"/>
        <v>7</v>
      </c>
      <c r="Q33" s="1">
        <v>6</v>
      </c>
      <c r="R33" s="1">
        <f t="shared" si="49"/>
        <v>6</v>
      </c>
      <c r="S33" s="1">
        <v>215.4</v>
      </c>
      <c r="T33" s="1">
        <f t="shared" si="8"/>
        <v>215.4</v>
      </c>
      <c r="U33" s="1">
        <f t="shared" si="58"/>
        <v>215</v>
      </c>
      <c r="V33" s="1">
        <f t="shared" si="59"/>
        <v>215</v>
      </c>
      <c r="W33" s="1">
        <v>6</v>
      </c>
      <c r="X33" s="1">
        <f t="shared" si="50"/>
        <v>7</v>
      </c>
      <c r="Y33" s="1">
        <v>6</v>
      </c>
      <c r="Z33" s="1">
        <f t="shared" si="51"/>
        <v>6</v>
      </c>
      <c r="AA33" s="1">
        <v>215.4</v>
      </c>
      <c r="AB33" s="1">
        <f t="shared" si="21"/>
        <v>221.4</v>
      </c>
      <c r="AC33" s="1">
        <f t="shared" si="60"/>
        <v>221</v>
      </c>
      <c r="AD33" s="1">
        <f t="shared" si="61"/>
        <v>221</v>
      </c>
      <c r="AF33" s="1">
        <v>6</v>
      </c>
      <c r="AG33" s="1">
        <f t="shared" si="52"/>
        <v>7</v>
      </c>
      <c r="AI33" s="1">
        <v>6</v>
      </c>
      <c r="AJ33" s="1">
        <f t="shared" si="53"/>
        <v>6</v>
      </c>
    </row>
    <row r="34" spans="1:36">
      <c r="A34" s="1">
        <v>-15.4</v>
      </c>
      <c r="B34" s="1">
        <f t="shared" si="38"/>
        <v>-15.4</v>
      </c>
      <c r="C34" s="1">
        <f t="shared" si="54"/>
        <v>-15</v>
      </c>
      <c r="D34" s="1">
        <f t="shared" si="55"/>
        <v>-16</v>
      </c>
      <c r="E34" s="1">
        <v>0</v>
      </c>
      <c r="F34" s="1">
        <f t="shared" si="46"/>
        <v>1</v>
      </c>
      <c r="G34" s="1">
        <v>0</v>
      </c>
      <c r="H34" s="1">
        <f t="shared" si="47"/>
        <v>0</v>
      </c>
      <c r="I34" s="1">
        <v>-15.4</v>
      </c>
      <c r="J34" s="1">
        <f t="shared" si="5"/>
        <v>-15.4</v>
      </c>
      <c r="K34" s="1">
        <f t="shared" si="56"/>
        <v>-15</v>
      </c>
      <c r="L34" s="1">
        <f t="shared" si="57"/>
        <v>-16</v>
      </c>
      <c r="N34" s="1">
        <v>0</v>
      </c>
      <c r="O34" s="1">
        <f t="shared" si="48"/>
        <v>1</v>
      </c>
      <c r="Q34" s="1">
        <v>0</v>
      </c>
      <c r="R34" s="1">
        <f t="shared" si="49"/>
        <v>0</v>
      </c>
      <c r="S34" s="1">
        <v>-15.4</v>
      </c>
      <c r="T34" s="1">
        <f t="shared" ref="T34:T65" si="62">S34*$B$1+S34</f>
        <v>-15.4</v>
      </c>
      <c r="U34" s="1">
        <f t="shared" si="58"/>
        <v>-15</v>
      </c>
      <c r="V34" s="1">
        <f t="shared" si="59"/>
        <v>-16</v>
      </c>
      <c r="W34" s="1">
        <v>0</v>
      </c>
      <c r="X34" s="1">
        <f t="shared" si="50"/>
        <v>1</v>
      </c>
      <c r="Y34" s="1">
        <v>0</v>
      </c>
      <c r="Z34" s="1">
        <f t="shared" si="51"/>
        <v>0</v>
      </c>
      <c r="AA34" s="1">
        <v>-15.4</v>
      </c>
      <c r="AB34" s="1">
        <f t="shared" si="21"/>
        <v>-15.4</v>
      </c>
      <c r="AC34" s="1">
        <f t="shared" si="60"/>
        <v>-15</v>
      </c>
      <c r="AD34" s="1">
        <f t="shared" si="61"/>
        <v>-16</v>
      </c>
      <c r="AF34" s="1">
        <v>0</v>
      </c>
      <c r="AG34" s="1">
        <f t="shared" si="52"/>
        <v>1</v>
      </c>
      <c r="AI34" s="1">
        <v>0</v>
      </c>
      <c r="AJ34" s="1">
        <f t="shared" si="53"/>
        <v>0</v>
      </c>
    </row>
    <row r="35" spans="1:36">
      <c r="A35" s="1">
        <v>-46.2</v>
      </c>
      <c r="B35" s="1">
        <f t="shared" si="38"/>
        <v>-46.2</v>
      </c>
      <c r="C35" s="1">
        <f t="shared" si="54"/>
        <v>-46</v>
      </c>
      <c r="D35" s="1">
        <f t="shared" si="55"/>
        <v>-47</v>
      </c>
      <c r="E35" s="1">
        <v>-3.4</v>
      </c>
      <c r="F35" s="1">
        <f t="shared" si="46"/>
        <v>-5</v>
      </c>
      <c r="G35" s="1">
        <v>-3.4</v>
      </c>
      <c r="H35" s="1">
        <f t="shared" si="47"/>
        <v>-4</v>
      </c>
      <c r="I35" s="1">
        <v>-46.2</v>
      </c>
      <c r="J35" s="1">
        <f t="shared" si="5"/>
        <v>-46.2</v>
      </c>
      <c r="K35" s="1">
        <f t="shared" si="56"/>
        <v>-46</v>
      </c>
      <c r="L35" s="1">
        <f t="shared" si="57"/>
        <v>-47</v>
      </c>
      <c r="N35" s="1">
        <v>-3.4</v>
      </c>
      <c r="O35" s="1">
        <f t="shared" si="48"/>
        <v>-5</v>
      </c>
      <c r="Q35" s="1">
        <v>-3.4</v>
      </c>
      <c r="R35" s="1">
        <f t="shared" si="49"/>
        <v>-4</v>
      </c>
      <c r="S35" s="1">
        <v>-46.2</v>
      </c>
      <c r="T35" s="1">
        <f t="shared" si="62"/>
        <v>-46.2</v>
      </c>
      <c r="U35" s="1">
        <f t="shared" si="58"/>
        <v>-46</v>
      </c>
      <c r="V35" s="1">
        <f t="shared" si="59"/>
        <v>-47</v>
      </c>
      <c r="W35" s="1">
        <v>-3.4</v>
      </c>
      <c r="X35" s="1">
        <f t="shared" si="50"/>
        <v>-5</v>
      </c>
      <c r="Y35" s="1">
        <v>-3.4</v>
      </c>
      <c r="Z35" s="1">
        <f t="shared" si="51"/>
        <v>-4</v>
      </c>
      <c r="AA35" s="1">
        <v>-46.2</v>
      </c>
      <c r="AB35" s="1">
        <f t="shared" si="21"/>
        <v>-50.2</v>
      </c>
      <c r="AC35" s="1">
        <f t="shared" si="60"/>
        <v>-50</v>
      </c>
      <c r="AD35" s="1">
        <f t="shared" si="61"/>
        <v>-51</v>
      </c>
      <c r="AF35" s="1">
        <v>-3.4</v>
      </c>
      <c r="AG35" s="1">
        <f t="shared" si="52"/>
        <v>-5</v>
      </c>
      <c r="AI35" s="1">
        <v>-3.4</v>
      </c>
      <c r="AJ35" s="1">
        <f t="shared" si="53"/>
        <v>-4</v>
      </c>
    </row>
    <row r="36" spans="1:36">
      <c r="A36" s="1">
        <v>-46.2</v>
      </c>
      <c r="B36" s="1">
        <f t="shared" si="38"/>
        <v>-46.2</v>
      </c>
      <c r="C36" s="1">
        <f t="shared" si="54"/>
        <v>-46</v>
      </c>
      <c r="D36" s="1">
        <f t="shared" si="55"/>
        <v>-47</v>
      </c>
      <c r="E36" s="1">
        <v>-6</v>
      </c>
      <c r="F36" s="1">
        <f t="shared" si="46"/>
        <v>-7</v>
      </c>
      <c r="G36" s="1">
        <v>-6</v>
      </c>
      <c r="H36" s="1">
        <f t="shared" si="47"/>
        <v>-6</v>
      </c>
      <c r="I36" s="1">
        <v>-46.2</v>
      </c>
      <c r="J36" s="1">
        <f t="shared" si="5"/>
        <v>-46.2</v>
      </c>
      <c r="K36" s="1">
        <f t="shared" si="56"/>
        <v>-46</v>
      </c>
      <c r="L36" s="1">
        <f t="shared" si="57"/>
        <v>-47</v>
      </c>
      <c r="N36" s="1">
        <v>-6</v>
      </c>
      <c r="O36" s="1">
        <f t="shared" si="48"/>
        <v>-7</v>
      </c>
      <c r="Q36" s="1">
        <v>-6</v>
      </c>
      <c r="R36" s="1">
        <f t="shared" si="49"/>
        <v>-6</v>
      </c>
      <c r="S36" s="1">
        <v>-46.2</v>
      </c>
      <c r="T36" s="1">
        <f t="shared" si="62"/>
        <v>-46.2</v>
      </c>
      <c r="U36" s="1">
        <f t="shared" si="58"/>
        <v>-46</v>
      </c>
      <c r="V36" s="1">
        <f t="shared" si="59"/>
        <v>-47</v>
      </c>
      <c r="W36" s="1">
        <v>-6</v>
      </c>
      <c r="X36" s="1">
        <f t="shared" si="50"/>
        <v>-7</v>
      </c>
      <c r="Y36" s="1">
        <v>-6</v>
      </c>
      <c r="Z36" s="1">
        <f t="shared" si="51"/>
        <v>-6</v>
      </c>
      <c r="AA36" s="1">
        <v>-46.2</v>
      </c>
      <c r="AB36" s="1">
        <f t="shared" si="21"/>
        <v>-52.2</v>
      </c>
      <c r="AC36" s="1">
        <f t="shared" si="60"/>
        <v>-52</v>
      </c>
      <c r="AD36" s="1">
        <f t="shared" si="61"/>
        <v>-53</v>
      </c>
      <c r="AF36" s="1">
        <v>-6</v>
      </c>
      <c r="AG36" s="1">
        <f t="shared" si="52"/>
        <v>-7</v>
      </c>
      <c r="AI36" s="1">
        <v>-6</v>
      </c>
      <c r="AJ36" s="1">
        <f t="shared" si="53"/>
        <v>-6</v>
      </c>
    </row>
    <row r="37" spans="1:36">
      <c r="A37" s="1">
        <v>-123.1</v>
      </c>
      <c r="B37" s="1">
        <f t="shared" si="38"/>
        <v>-123.1</v>
      </c>
      <c r="C37" s="1">
        <f t="shared" si="54"/>
        <v>-123</v>
      </c>
      <c r="D37" s="1">
        <f t="shared" si="55"/>
        <v>-124</v>
      </c>
      <c r="E37" s="1">
        <v>-9</v>
      </c>
      <c r="F37" s="1">
        <f t="shared" si="46"/>
        <v>-9</v>
      </c>
      <c r="G37" s="1">
        <v>-9</v>
      </c>
      <c r="H37" s="1">
        <f t="shared" si="47"/>
        <v>-10</v>
      </c>
      <c r="I37" s="1">
        <v>-123.1</v>
      </c>
      <c r="J37" s="1">
        <f t="shared" si="5"/>
        <v>-123.1</v>
      </c>
      <c r="K37" s="1">
        <f t="shared" si="56"/>
        <v>-123</v>
      </c>
      <c r="L37" s="1">
        <f t="shared" si="57"/>
        <v>-124</v>
      </c>
      <c r="N37" s="1">
        <v>-9</v>
      </c>
      <c r="O37" s="1">
        <f t="shared" si="48"/>
        <v>-9</v>
      </c>
      <c r="Q37" s="1">
        <v>-9</v>
      </c>
      <c r="R37" s="1">
        <f t="shared" si="49"/>
        <v>-10</v>
      </c>
      <c r="S37" s="1">
        <v>-123.1</v>
      </c>
      <c r="T37" s="1">
        <f t="shared" si="62"/>
        <v>-123.1</v>
      </c>
      <c r="U37" s="1">
        <f t="shared" si="58"/>
        <v>-123</v>
      </c>
      <c r="V37" s="1">
        <f t="shared" si="59"/>
        <v>-124</v>
      </c>
      <c r="W37" s="1">
        <v>-9</v>
      </c>
      <c r="X37" s="1">
        <f t="shared" si="50"/>
        <v>-9</v>
      </c>
      <c r="Y37" s="1">
        <v>-9</v>
      </c>
      <c r="Z37" s="1">
        <f t="shared" si="51"/>
        <v>-10</v>
      </c>
      <c r="AA37" s="1">
        <v>-123.1</v>
      </c>
      <c r="AB37" s="1">
        <f t="shared" si="21"/>
        <v>-133.1</v>
      </c>
      <c r="AC37" s="1">
        <f t="shared" si="60"/>
        <v>-133</v>
      </c>
      <c r="AD37" s="1">
        <f t="shared" si="61"/>
        <v>-134</v>
      </c>
      <c r="AF37" s="1">
        <v>-9</v>
      </c>
      <c r="AG37" s="1">
        <f t="shared" si="52"/>
        <v>-9</v>
      </c>
      <c r="AI37" s="1">
        <v>-9</v>
      </c>
      <c r="AJ37" s="1">
        <f t="shared" si="53"/>
        <v>-10</v>
      </c>
    </row>
    <row r="38" spans="1:36">
      <c r="A38" s="1">
        <v>-123.1</v>
      </c>
      <c r="B38" s="1">
        <f t="shared" si="38"/>
        <v>-123.1</v>
      </c>
      <c r="C38" s="1">
        <f t="shared" si="54"/>
        <v>-123</v>
      </c>
      <c r="D38" s="1">
        <f t="shared" si="55"/>
        <v>-124</v>
      </c>
      <c r="I38" s="1">
        <v>-123.1</v>
      </c>
      <c r="J38" s="1">
        <f t="shared" si="5"/>
        <v>-123.1</v>
      </c>
      <c r="K38" s="1">
        <f t="shared" si="56"/>
        <v>-123</v>
      </c>
      <c r="L38" s="1">
        <f t="shared" si="57"/>
        <v>-124</v>
      </c>
      <c r="S38" s="1">
        <v>-123.1</v>
      </c>
      <c r="T38" s="1">
        <f t="shared" si="62"/>
        <v>-123.1</v>
      </c>
      <c r="U38" s="1">
        <f t="shared" si="58"/>
        <v>-123</v>
      </c>
      <c r="V38" s="1">
        <f t="shared" si="59"/>
        <v>-124</v>
      </c>
      <c r="AA38" s="1">
        <v>-123.1</v>
      </c>
      <c r="AB38" s="1">
        <f t="shared" si="21"/>
        <v>-123.1</v>
      </c>
      <c r="AC38" s="1">
        <f t="shared" si="60"/>
        <v>-123</v>
      </c>
      <c r="AD38" s="1">
        <f t="shared" si="61"/>
        <v>-124</v>
      </c>
    </row>
    <row r="39" spans="1:36">
      <c r="A39" s="1">
        <v>-284.60000000000002</v>
      </c>
      <c r="B39" s="1">
        <f t="shared" si="38"/>
        <v>-284.60000000000002</v>
      </c>
      <c r="C39" s="1">
        <f t="shared" si="54"/>
        <v>-284</v>
      </c>
      <c r="D39" s="1">
        <f t="shared" si="55"/>
        <v>-285</v>
      </c>
      <c r="I39" s="1">
        <v>-284.60000000000002</v>
      </c>
      <c r="J39" s="1">
        <f t="shared" si="5"/>
        <v>-284.60000000000002</v>
      </c>
      <c r="K39" s="1">
        <f t="shared" si="56"/>
        <v>-284</v>
      </c>
      <c r="L39" s="1">
        <f t="shared" si="57"/>
        <v>-285</v>
      </c>
      <c r="S39" s="1">
        <v>-284.60000000000002</v>
      </c>
      <c r="T39" s="1">
        <f t="shared" si="62"/>
        <v>-284.60000000000002</v>
      </c>
      <c r="U39" s="1">
        <f t="shared" si="58"/>
        <v>-284</v>
      </c>
      <c r="V39" s="1">
        <f t="shared" si="59"/>
        <v>-285</v>
      </c>
      <c r="AA39" s="1">
        <v>-284.60000000000002</v>
      </c>
      <c r="AB39" s="1">
        <f t="shared" si="21"/>
        <v>-284.60000000000002</v>
      </c>
      <c r="AC39" s="1">
        <f t="shared" si="60"/>
        <v>-284</v>
      </c>
      <c r="AD39" s="1">
        <f t="shared" si="61"/>
        <v>-285</v>
      </c>
    </row>
    <row r="40" spans="1:36">
      <c r="A40" s="1">
        <v>-446.2</v>
      </c>
      <c r="B40" s="1">
        <f t="shared" si="38"/>
        <v>-446.2</v>
      </c>
      <c r="C40" s="1">
        <f t="shared" si="54"/>
        <v>-446</v>
      </c>
      <c r="D40" s="1">
        <f t="shared" si="55"/>
        <v>-447</v>
      </c>
      <c r="I40" s="1">
        <v>-446.2</v>
      </c>
      <c r="J40" s="1">
        <f t="shared" si="5"/>
        <v>-446.2</v>
      </c>
      <c r="K40" s="1">
        <f t="shared" si="56"/>
        <v>-446</v>
      </c>
      <c r="L40" s="1">
        <f t="shared" si="57"/>
        <v>-447</v>
      </c>
      <c r="S40" s="1">
        <v>-446.2</v>
      </c>
      <c r="T40" s="1">
        <f t="shared" si="62"/>
        <v>-446.2</v>
      </c>
      <c r="U40" s="1">
        <f t="shared" si="58"/>
        <v>-446</v>
      </c>
      <c r="V40" s="1">
        <f t="shared" si="59"/>
        <v>-447</v>
      </c>
      <c r="AA40" s="1">
        <v>-446.2</v>
      </c>
      <c r="AB40" s="1">
        <f t="shared" si="21"/>
        <v>-446.2</v>
      </c>
      <c r="AC40" s="1">
        <f t="shared" si="60"/>
        <v>-446</v>
      </c>
      <c r="AD40" s="1">
        <f t="shared" si="61"/>
        <v>-447</v>
      </c>
    </row>
    <row r="41" spans="1:36">
      <c r="A41" s="1">
        <v>361.5</v>
      </c>
      <c r="B41" s="1">
        <f t="shared" si="38"/>
        <v>361.5</v>
      </c>
      <c r="C41" s="1">
        <f>TRUNC(B41)</f>
        <v>361</v>
      </c>
      <c r="D41" s="1">
        <f>INT(B41)</f>
        <v>361</v>
      </c>
      <c r="E41" s="1">
        <v>22</v>
      </c>
      <c r="F41" s="1">
        <f t="shared" ref="F41:F50" si="63">ODD(E41)</f>
        <v>23</v>
      </c>
      <c r="G41" s="1">
        <v>22</v>
      </c>
      <c r="H41" s="1">
        <f t="shared" ref="H41:H50" si="64">EVEN(G41)</f>
        <v>22</v>
      </c>
      <c r="I41" s="1">
        <v>361.5</v>
      </c>
      <c r="J41" s="1">
        <f t="shared" si="5"/>
        <v>361.5</v>
      </c>
      <c r="K41" s="1">
        <f>TRUNC(J41)</f>
        <v>361</v>
      </c>
      <c r="L41" s="1">
        <f>INT(J41)</f>
        <v>361</v>
      </c>
      <c r="N41" s="1">
        <v>22</v>
      </c>
      <c r="O41" s="1">
        <f t="shared" ref="O41:O50" si="65">ODD(N41)</f>
        <v>23</v>
      </c>
      <c r="Q41" s="1">
        <v>22</v>
      </c>
      <c r="R41" s="1">
        <f t="shared" ref="R41:R50" si="66">EVEN(Q41)</f>
        <v>22</v>
      </c>
      <c r="S41" s="1">
        <v>361.5</v>
      </c>
      <c r="T41" s="1">
        <f t="shared" si="62"/>
        <v>361.5</v>
      </c>
      <c r="U41" s="1">
        <f>TRUNC(T41)</f>
        <v>361</v>
      </c>
      <c r="V41" s="1">
        <f>INT(T41)</f>
        <v>361</v>
      </c>
      <c r="W41" s="1">
        <v>22</v>
      </c>
      <c r="X41" s="1">
        <f t="shared" ref="X41:X50" si="67">ODD(W41)</f>
        <v>23</v>
      </c>
      <c r="Y41" s="1">
        <v>22</v>
      </c>
      <c r="Z41" s="1">
        <f t="shared" ref="Z41:Z50" si="68">EVEN(Y41)</f>
        <v>22</v>
      </c>
      <c r="AA41" s="1">
        <v>361.5</v>
      </c>
      <c r="AB41" s="1">
        <f t="shared" si="21"/>
        <v>383.5</v>
      </c>
      <c r="AC41" s="1">
        <f>TRUNC(AB41)</f>
        <v>383</v>
      </c>
      <c r="AD41" s="1">
        <f>INT(AB41)</f>
        <v>383</v>
      </c>
      <c r="AF41" s="1">
        <v>22</v>
      </c>
      <c r="AG41" s="1">
        <f t="shared" ref="AG41:AG50" si="69">ODD(AF41)</f>
        <v>23</v>
      </c>
      <c r="AI41" s="1">
        <v>22</v>
      </c>
      <c r="AJ41" s="1">
        <f t="shared" ref="AJ41:AJ50" si="70">EVEN(AI41)</f>
        <v>22</v>
      </c>
    </row>
    <row r="42" spans="1:36">
      <c r="A42" s="1">
        <v>353.8</v>
      </c>
      <c r="B42" s="1">
        <f t="shared" si="38"/>
        <v>353.8</v>
      </c>
      <c r="C42" s="1">
        <f t="shared" ref="C42:C53" si="71">TRUNC(B42)</f>
        <v>353</v>
      </c>
      <c r="D42" s="1">
        <f t="shared" ref="D42:D53" si="72">INT(B42)</f>
        <v>353</v>
      </c>
      <c r="E42" s="1">
        <v>19.3</v>
      </c>
      <c r="F42" s="1">
        <f t="shared" si="63"/>
        <v>21</v>
      </c>
      <c r="G42" s="1">
        <v>19.3</v>
      </c>
      <c r="H42" s="1">
        <f t="shared" si="64"/>
        <v>20</v>
      </c>
      <c r="I42" s="1">
        <v>353.8</v>
      </c>
      <c r="J42" s="1">
        <f t="shared" si="5"/>
        <v>353.8</v>
      </c>
      <c r="K42" s="1">
        <f t="shared" ref="K42:K53" si="73">TRUNC(J42)</f>
        <v>353</v>
      </c>
      <c r="L42" s="1">
        <f t="shared" ref="L42:L53" si="74">INT(J42)</f>
        <v>353</v>
      </c>
      <c r="N42" s="1">
        <v>19.3</v>
      </c>
      <c r="O42" s="1">
        <f t="shared" si="65"/>
        <v>21</v>
      </c>
      <c r="Q42" s="1">
        <v>19.3</v>
      </c>
      <c r="R42" s="1">
        <f t="shared" si="66"/>
        <v>20</v>
      </c>
      <c r="S42" s="1">
        <v>353.8</v>
      </c>
      <c r="T42" s="1">
        <f t="shared" si="62"/>
        <v>353.8</v>
      </c>
      <c r="U42" s="1">
        <f t="shared" ref="U42:U53" si="75">TRUNC(T42)</f>
        <v>353</v>
      </c>
      <c r="V42" s="1">
        <f t="shared" ref="V42:V53" si="76">INT(T42)</f>
        <v>353</v>
      </c>
      <c r="W42" s="1">
        <v>19.3</v>
      </c>
      <c r="X42" s="1">
        <f t="shared" si="67"/>
        <v>21</v>
      </c>
      <c r="Y42" s="1">
        <v>19.3</v>
      </c>
      <c r="Z42" s="1">
        <f t="shared" si="68"/>
        <v>20</v>
      </c>
      <c r="AA42" s="1">
        <v>353.8</v>
      </c>
      <c r="AB42" s="1">
        <f t="shared" si="21"/>
        <v>373.8</v>
      </c>
      <c r="AC42" s="1">
        <f t="shared" ref="AC42:AC53" si="77">TRUNC(AB42)</f>
        <v>373</v>
      </c>
      <c r="AD42" s="1">
        <f t="shared" ref="AD42:AD53" si="78">INT(AB42)</f>
        <v>373</v>
      </c>
      <c r="AF42" s="1">
        <v>19.3</v>
      </c>
      <c r="AG42" s="1">
        <f t="shared" si="69"/>
        <v>21</v>
      </c>
      <c r="AI42" s="1">
        <v>19.3</v>
      </c>
      <c r="AJ42" s="1">
        <f t="shared" si="70"/>
        <v>20</v>
      </c>
    </row>
    <row r="43" spans="1:36">
      <c r="A43" s="1">
        <v>323.10000000000002</v>
      </c>
      <c r="B43" s="1">
        <f t="shared" si="38"/>
        <v>323.10000000000002</v>
      </c>
      <c r="C43" s="1">
        <f t="shared" si="71"/>
        <v>323</v>
      </c>
      <c r="D43" s="1">
        <f t="shared" si="72"/>
        <v>323</v>
      </c>
      <c r="E43" s="1">
        <v>16.100000000000001</v>
      </c>
      <c r="F43" s="1">
        <f t="shared" si="63"/>
        <v>17</v>
      </c>
      <c r="G43" s="1">
        <v>16.100000000000001</v>
      </c>
      <c r="H43" s="1">
        <f t="shared" si="64"/>
        <v>18</v>
      </c>
      <c r="I43" s="1">
        <v>323.10000000000002</v>
      </c>
      <c r="J43" s="1">
        <f>I43*$DB$1+I43</f>
        <v>323.10000000000002</v>
      </c>
      <c r="K43" s="1">
        <f t="shared" si="73"/>
        <v>323</v>
      </c>
      <c r="L43" s="1">
        <f t="shared" si="74"/>
        <v>323</v>
      </c>
      <c r="N43" s="1">
        <v>16.100000000000001</v>
      </c>
      <c r="O43" s="1">
        <f t="shared" si="65"/>
        <v>17</v>
      </c>
      <c r="Q43" s="1">
        <v>16.100000000000001</v>
      </c>
      <c r="R43" s="1">
        <f t="shared" si="66"/>
        <v>18</v>
      </c>
      <c r="S43" s="1">
        <v>323.10000000000002</v>
      </c>
      <c r="T43" s="1">
        <f t="shared" si="62"/>
        <v>323.10000000000002</v>
      </c>
      <c r="U43" s="1">
        <f t="shared" si="75"/>
        <v>323</v>
      </c>
      <c r="V43" s="1">
        <f t="shared" si="76"/>
        <v>323</v>
      </c>
      <c r="W43" s="1">
        <v>16.100000000000001</v>
      </c>
      <c r="X43" s="1">
        <f t="shared" si="67"/>
        <v>17</v>
      </c>
      <c r="Y43" s="1">
        <v>16.100000000000001</v>
      </c>
      <c r="Z43" s="1">
        <f t="shared" si="68"/>
        <v>18</v>
      </c>
      <c r="AA43" s="1">
        <v>323.10000000000002</v>
      </c>
      <c r="AB43" s="1">
        <f t="shared" si="21"/>
        <v>341.1</v>
      </c>
      <c r="AC43" s="1">
        <f t="shared" si="77"/>
        <v>341</v>
      </c>
      <c r="AD43" s="1">
        <f t="shared" si="78"/>
        <v>341</v>
      </c>
      <c r="AF43" s="1">
        <v>16.100000000000001</v>
      </c>
      <c r="AG43" s="1">
        <f t="shared" si="69"/>
        <v>17</v>
      </c>
      <c r="AI43" s="1">
        <v>16.100000000000001</v>
      </c>
      <c r="AJ43" s="1">
        <f t="shared" si="70"/>
        <v>18</v>
      </c>
    </row>
    <row r="44" spans="1:36">
      <c r="A44" s="1">
        <v>315.39999999999998</v>
      </c>
      <c r="B44" s="1">
        <f t="shared" si="38"/>
        <v>315.39999999999998</v>
      </c>
      <c r="C44" s="1">
        <f t="shared" si="71"/>
        <v>315</v>
      </c>
      <c r="D44" s="1">
        <f t="shared" si="72"/>
        <v>315</v>
      </c>
      <c r="E44" s="1">
        <v>12</v>
      </c>
      <c r="F44" s="1">
        <f t="shared" si="63"/>
        <v>13</v>
      </c>
      <c r="G44" s="1">
        <v>12</v>
      </c>
      <c r="H44" s="1">
        <f t="shared" si="64"/>
        <v>12</v>
      </c>
      <c r="I44" s="1">
        <v>315.39999999999998</v>
      </c>
      <c r="J44" s="1">
        <f t="shared" ref="J44:J53" si="79">I44*$B$1+I44</f>
        <v>315.39999999999998</v>
      </c>
      <c r="K44" s="1">
        <f t="shared" si="73"/>
        <v>315</v>
      </c>
      <c r="L44" s="1">
        <f t="shared" si="74"/>
        <v>315</v>
      </c>
      <c r="N44" s="1">
        <v>12</v>
      </c>
      <c r="O44" s="1">
        <f t="shared" si="65"/>
        <v>13</v>
      </c>
      <c r="Q44" s="1">
        <v>12</v>
      </c>
      <c r="R44" s="1">
        <f t="shared" si="66"/>
        <v>12</v>
      </c>
      <c r="S44" s="1">
        <v>315.39999999999998</v>
      </c>
      <c r="T44" s="1">
        <f t="shared" si="62"/>
        <v>315.39999999999998</v>
      </c>
      <c r="U44" s="1">
        <f t="shared" si="75"/>
        <v>315</v>
      </c>
      <c r="V44" s="1">
        <f t="shared" si="76"/>
        <v>315</v>
      </c>
      <c r="W44" s="1">
        <v>12</v>
      </c>
      <c r="X44" s="1">
        <f t="shared" si="67"/>
        <v>13</v>
      </c>
      <c r="Y44" s="1">
        <v>12</v>
      </c>
      <c r="Z44" s="1">
        <f t="shared" si="68"/>
        <v>12</v>
      </c>
      <c r="AA44" s="1">
        <v>315.39999999999998</v>
      </c>
      <c r="AB44" s="1">
        <f t="shared" si="21"/>
        <v>327.39999999999998</v>
      </c>
      <c r="AC44" s="1">
        <f t="shared" si="77"/>
        <v>327</v>
      </c>
      <c r="AD44" s="1">
        <f t="shared" si="78"/>
        <v>327</v>
      </c>
      <c r="AF44" s="1">
        <v>12</v>
      </c>
      <c r="AG44" s="1">
        <f t="shared" si="69"/>
        <v>13</v>
      </c>
      <c r="AI44" s="1">
        <v>12</v>
      </c>
      <c r="AJ44" s="1">
        <f t="shared" si="70"/>
        <v>12</v>
      </c>
    </row>
    <row r="45" spans="1:36">
      <c r="A45" s="1">
        <v>230.8</v>
      </c>
      <c r="B45" s="1">
        <f t="shared" si="38"/>
        <v>230.8</v>
      </c>
      <c r="C45" s="1">
        <f t="shared" si="71"/>
        <v>230</v>
      </c>
      <c r="D45" s="1">
        <f t="shared" si="72"/>
        <v>230</v>
      </c>
      <c r="E45" s="1">
        <v>9.3000000000000007</v>
      </c>
      <c r="F45" s="1">
        <f t="shared" si="63"/>
        <v>11</v>
      </c>
      <c r="G45" s="1">
        <v>9.3000000000000007</v>
      </c>
      <c r="H45" s="1">
        <f t="shared" si="64"/>
        <v>10</v>
      </c>
      <c r="I45" s="1">
        <v>230.8</v>
      </c>
      <c r="J45" s="1">
        <f t="shared" si="79"/>
        <v>230.8</v>
      </c>
      <c r="K45" s="1">
        <f t="shared" si="73"/>
        <v>230</v>
      </c>
      <c r="L45" s="1">
        <f t="shared" si="74"/>
        <v>230</v>
      </c>
      <c r="N45" s="1">
        <v>9.3000000000000007</v>
      </c>
      <c r="O45" s="1">
        <f t="shared" si="65"/>
        <v>11</v>
      </c>
      <c r="Q45" s="1">
        <v>9.3000000000000007</v>
      </c>
      <c r="R45" s="1">
        <f t="shared" si="66"/>
        <v>10</v>
      </c>
      <c r="S45" s="1">
        <v>230.8</v>
      </c>
      <c r="T45" s="1">
        <f t="shared" si="62"/>
        <v>230.8</v>
      </c>
      <c r="U45" s="1">
        <f t="shared" si="75"/>
        <v>230</v>
      </c>
      <c r="V45" s="1">
        <f t="shared" si="76"/>
        <v>230</v>
      </c>
      <c r="W45" s="1">
        <v>9.3000000000000007</v>
      </c>
      <c r="X45" s="1">
        <f t="shared" si="67"/>
        <v>11</v>
      </c>
      <c r="Y45" s="1">
        <v>9.3000000000000007</v>
      </c>
      <c r="Z45" s="1">
        <f t="shared" si="68"/>
        <v>10</v>
      </c>
      <c r="AA45" s="1">
        <v>230.8</v>
      </c>
      <c r="AB45" s="1">
        <f t="shared" si="21"/>
        <v>240.8</v>
      </c>
      <c r="AC45" s="1">
        <f t="shared" si="77"/>
        <v>240</v>
      </c>
      <c r="AD45" s="1">
        <f t="shared" si="78"/>
        <v>240</v>
      </c>
      <c r="AF45" s="1">
        <v>9.3000000000000007</v>
      </c>
      <c r="AG45" s="1">
        <f t="shared" si="69"/>
        <v>11</v>
      </c>
      <c r="AI45" s="1">
        <v>9.3000000000000007</v>
      </c>
      <c r="AJ45" s="1">
        <f t="shared" si="70"/>
        <v>10</v>
      </c>
    </row>
    <row r="46" spans="1:36">
      <c r="A46" s="1">
        <v>215.4</v>
      </c>
      <c r="B46" s="1">
        <f t="shared" si="38"/>
        <v>215.4</v>
      </c>
      <c r="C46" s="1">
        <f t="shared" si="71"/>
        <v>215</v>
      </c>
      <c r="D46" s="1">
        <f t="shared" si="72"/>
        <v>215</v>
      </c>
      <c r="E46" s="1">
        <v>6</v>
      </c>
      <c r="F46" s="1">
        <f t="shared" si="63"/>
        <v>7</v>
      </c>
      <c r="G46" s="1">
        <v>6</v>
      </c>
      <c r="H46" s="1">
        <f t="shared" si="64"/>
        <v>6</v>
      </c>
      <c r="I46" s="1">
        <v>215.4</v>
      </c>
      <c r="J46" s="1">
        <f t="shared" si="79"/>
        <v>215.4</v>
      </c>
      <c r="K46" s="1">
        <f t="shared" si="73"/>
        <v>215</v>
      </c>
      <c r="L46" s="1">
        <f t="shared" si="74"/>
        <v>215</v>
      </c>
      <c r="N46" s="1">
        <v>6</v>
      </c>
      <c r="O46" s="1">
        <f t="shared" si="65"/>
        <v>7</v>
      </c>
      <c r="Q46" s="1">
        <v>6</v>
      </c>
      <c r="R46" s="1">
        <f t="shared" si="66"/>
        <v>6</v>
      </c>
      <c r="S46" s="1">
        <v>215.4</v>
      </c>
      <c r="T46" s="1">
        <f t="shared" si="62"/>
        <v>215.4</v>
      </c>
      <c r="U46" s="1">
        <f t="shared" si="75"/>
        <v>215</v>
      </c>
      <c r="V46" s="1">
        <f t="shared" si="76"/>
        <v>215</v>
      </c>
      <c r="W46" s="1">
        <v>6</v>
      </c>
      <c r="X46" s="1">
        <f t="shared" si="67"/>
        <v>7</v>
      </c>
      <c r="Y46" s="1">
        <v>6</v>
      </c>
      <c r="Z46" s="1">
        <f t="shared" si="68"/>
        <v>6</v>
      </c>
      <c r="AA46" s="1">
        <v>215.4</v>
      </c>
      <c r="AB46" s="1">
        <f t="shared" si="21"/>
        <v>221.4</v>
      </c>
      <c r="AC46" s="1">
        <f t="shared" si="77"/>
        <v>221</v>
      </c>
      <c r="AD46" s="1">
        <f t="shared" si="78"/>
        <v>221</v>
      </c>
      <c r="AF46" s="1">
        <v>6</v>
      </c>
      <c r="AG46" s="1">
        <f t="shared" si="69"/>
        <v>7</v>
      </c>
      <c r="AI46" s="1">
        <v>6</v>
      </c>
      <c r="AJ46" s="1">
        <f t="shared" si="70"/>
        <v>6</v>
      </c>
    </row>
    <row r="47" spans="1:36">
      <c r="A47" s="1">
        <v>-15.4</v>
      </c>
      <c r="B47" s="1">
        <f t="shared" si="38"/>
        <v>-15.4</v>
      </c>
      <c r="C47" s="1" t="e">
        <f ca="1">ОБР(B47)</f>
        <v>#NAME?</v>
      </c>
      <c r="D47" s="1">
        <f t="shared" si="72"/>
        <v>-16</v>
      </c>
      <c r="E47" s="1">
        <v>0</v>
      </c>
      <c r="F47" s="1">
        <f t="shared" si="63"/>
        <v>1</v>
      </c>
      <c r="G47" s="1">
        <v>0</v>
      </c>
      <c r="H47" s="1">
        <f t="shared" si="64"/>
        <v>0</v>
      </c>
      <c r="I47" s="1">
        <v>-15.4</v>
      </c>
      <c r="J47" s="1">
        <f t="shared" si="79"/>
        <v>-15.4</v>
      </c>
      <c r="K47" s="1">
        <f t="shared" si="73"/>
        <v>-15</v>
      </c>
      <c r="L47" s="1">
        <f t="shared" si="74"/>
        <v>-16</v>
      </c>
      <c r="N47" s="1">
        <v>0</v>
      </c>
      <c r="O47" s="1">
        <f t="shared" si="65"/>
        <v>1</v>
      </c>
      <c r="Q47" s="1">
        <v>0</v>
      </c>
      <c r="R47" s="1">
        <f t="shared" si="66"/>
        <v>0</v>
      </c>
      <c r="S47" s="1">
        <v>-15.4</v>
      </c>
      <c r="T47" s="1">
        <f t="shared" si="62"/>
        <v>-15.4</v>
      </c>
      <c r="U47" s="1">
        <f t="shared" si="75"/>
        <v>-15</v>
      </c>
      <c r="V47" s="1">
        <f t="shared" si="76"/>
        <v>-16</v>
      </c>
      <c r="W47" s="1">
        <v>0</v>
      </c>
      <c r="X47" s="1">
        <f t="shared" si="67"/>
        <v>1</v>
      </c>
      <c r="Y47" s="1">
        <v>0</v>
      </c>
      <c r="Z47" s="1">
        <f t="shared" si="68"/>
        <v>0</v>
      </c>
      <c r="AA47" s="1">
        <v>-15.4</v>
      </c>
      <c r="AB47" s="1">
        <f t="shared" si="21"/>
        <v>-15.4</v>
      </c>
      <c r="AC47" s="1">
        <f t="shared" si="77"/>
        <v>-15</v>
      </c>
      <c r="AD47" s="1">
        <f t="shared" si="78"/>
        <v>-16</v>
      </c>
      <c r="AF47" s="1">
        <v>0</v>
      </c>
      <c r="AG47" s="1">
        <f t="shared" si="69"/>
        <v>1</v>
      </c>
      <c r="AI47" s="1">
        <v>0</v>
      </c>
      <c r="AJ47" s="1">
        <f t="shared" si="70"/>
        <v>0</v>
      </c>
    </row>
    <row r="48" spans="1:36">
      <c r="A48" s="1">
        <v>-46.2</v>
      </c>
      <c r="B48" s="1">
        <f t="shared" si="38"/>
        <v>-46.2</v>
      </c>
      <c r="C48" s="1">
        <f t="shared" si="71"/>
        <v>-46</v>
      </c>
      <c r="D48" s="1">
        <f t="shared" si="72"/>
        <v>-47</v>
      </c>
      <c r="E48" s="1">
        <v>-3.4</v>
      </c>
      <c r="F48" s="1">
        <f t="shared" si="63"/>
        <v>-5</v>
      </c>
      <c r="G48" s="1">
        <v>-3.4</v>
      </c>
      <c r="H48" s="1">
        <f t="shared" si="64"/>
        <v>-4</v>
      </c>
      <c r="I48" s="1">
        <v>-46.2</v>
      </c>
      <c r="J48" s="1">
        <f t="shared" si="79"/>
        <v>-46.2</v>
      </c>
      <c r="K48" s="1">
        <f t="shared" si="73"/>
        <v>-46</v>
      </c>
      <c r="L48" s="1">
        <f t="shared" si="74"/>
        <v>-47</v>
      </c>
      <c r="N48" s="1">
        <v>-3.4</v>
      </c>
      <c r="O48" s="1">
        <f t="shared" si="65"/>
        <v>-5</v>
      </c>
      <c r="Q48" s="1">
        <v>-3.4</v>
      </c>
      <c r="R48" s="1">
        <f t="shared" si="66"/>
        <v>-4</v>
      </c>
      <c r="S48" s="1">
        <v>-46.2</v>
      </c>
      <c r="T48" s="1">
        <f t="shared" si="62"/>
        <v>-46.2</v>
      </c>
      <c r="U48" s="1">
        <f t="shared" si="75"/>
        <v>-46</v>
      </c>
      <c r="V48" s="1">
        <f t="shared" si="76"/>
        <v>-47</v>
      </c>
      <c r="W48" s="1">
        <v>-3.4</v>
      </c>
      <c r="X48" s="1">
        <f t="shared" si="67"/>
        <v>-5</v>
      </c>
      <c r="Y48" s="1">
        <v>-3.4</v>
      </c>
      <c r="Z48" s="1">
        <f t="shared" si="68"/>
        <v>-4</v>
      </c>
      <c r="AA48" s="1">
        <v>-46.2</v>
      </c>
      <c r="AB48" s="1">
        <f t="shared" si="21"/>
        <v>-50.2</v>
      </c>
      <c r="AC48" s="1">
        <f t="shared" si="77"/>
        <v>-50</v>
      </c>
      <c r="AD48" s="1">
        <f t="shared" si="78"/>
        <v>-51</v>
      </c>
      <c r="AF48" s="1">
        <v>-3.4</v>
      </c>
      <c r="AG48" s="1">
        <f t="shared" si="69"/>
        <v>-5</v>
      </c>
      <c r="AI48" s="1">
        <v>-3.4</v>
      </c>
      <c r="AJ48" s="1">
        <f t="shared" si="70"/>
        <v>-4</v>
      </c>
    </row>
    <row r="49" spans="1:36">
      <c r="A49" s="1">
        <v>-46.2</v>
      </c>
      <c r="B49" s="1">
        <f t="shared" si="38"/>
        <v>-46.2</v>
      </c>
      <c r="C49" s="1">
        <f t="shared" si="71"/>
        <v>-46</v>
      </c>
      <c r="D49" s="1">
        <f t="shared" si="72"/>
        <v>-47</v>
      </c>
      <c r="E49" s="1">
        <v>-6</v>
      </c>
      <c r="F49" s="1">
        <f t="shared" si="63"/>
        <v>-7</v>
      </c>
      <c r="G49" s="1">
        <v>-6</v>
      </c>
      <c r="H49" s="1">
        <f t="shared" si="64"/>
        <v>-6</v>
      </c>
      <c r="I49" s="1">
        <v>-46.2</v>
      </c>
      <c r="J49" s="1">
        <f t="shared" si="79"/>
        <v>-46.2</v>
      </c>
      <c r="K49" s="1">
        <f t="shared" si="73"/>
        <v>-46</v>
      </c>
      <c r="L49" s="1">
        <f t="shared" si="74"/>
        <v>-47</v>
      </c>
      <c r="N49" s="1">
        <v>-6</v>
      </c>
      <c r="O49" s="1">
        <f t="shared" si="65"/>
        <v>-7</v>
      </c>
      <c r="Q49" s="1">
        <v>-6</v>
      </c>
      <c r="R49" s="1">
        <f t="shared" si="66"/>
        <v>-6</v>
      </c>
      <c r="S49" s="1">
        <v>-46.2</v>
      </c>
      <c r="T49" s="1">
        <f t="shared" si="62"/>
        <v>-46.2</v>
      </c>
      <c r="U49" s="1">
        <f t="shared" si="75"/>
        <v>-46</v>
      </c>
      <c r="V49" s="1">
        <f t="shared" si="76"/>
        <v>-47</v>
      </c>
      <c r="W49" s="1">
        <v>-6</v>
      </c>
      <c r="X49" s="1">
        <f t="shared" si="67"/>
        <v>-7</v>
      </c>
      <c r="Y49" s="1">
        <v>-6</v>
      </c>
      <c r="Z49" s="1">
        <f t="shared" si="68"/>
        <v>-6</v>
      </c>
      <c r="AA49" s="1">
        <v>-46.2</v>
      </c>
      <c r="AB49" s="1">
        <f t="shared" si="21"/>
        <v>-52.2</v>
      </c>
      <c r="AC49" s="1">
        <f t="shared" si="77"/>
        <v>-52</v>
      </c>
      <c r="AD49" s="1">
        <f t="shared" si="78"/>
        <v>-53</v>
      </c>
      <c r="AF49" s="1">
        <v>-6</v>
      </c>
      <c r="AG49" s="1">
        <f t="shared" si="69"/>
        <v>-7</v>
      </c>
      <c r="AI49" s="1">
        <v>-6</v>
      </c>
      <c r="AJ49" s="1">
        <f t="shared" si="70"/>
        <v>-6</v>
      </c>
    </row>
    <row r="50" spans="1:36">
      <c r="A50" s="1">
        <v>-123.1</v>
      </c>
      <c r="B50" s="1">
        <f t="shared" si="38"/>
        <v>-123.1</v>
      </c>
      <c r="C50" s="1">
        <f t="shared" si="71"/>
        <v>-123</v>
      </c>
      <c r="D50" s="1">
        <f t="shared" si="72"/>
        <v>-124</v>
      </c>
      <c r="E50" s="1">
        <v>-9</v>
      </c>
      <c r="F50" s="1">
        <f t="shared" si="63"/>
        <v>-9</v>
      </c>
      <c r="G50" s="1">
        <v>-9</v>
      </c>
      <c r="H50" s="1">
        <f t="shared" si="64"/>
        <v>-10</v>
      </c>
      <c r="I50" s="1">
        <v>-123.1</v>
      </c>
      <c r="J50" s="1">
        <f t="shared" si="79"/>
        <v>-123.1</v>
      </c>
      <c r="K50" s="1">
        <f t="shared" si="73"/>
        <v>-123</v>
      </c>
      <c r="L50" s="1">
        <f t="shared" si="74"/>
        <v>-124</v>
      </c>
      <c r="N50" s="1">
        <v>-9</v>
      </c>
      <c r="O50" s="1">
        <f t="shared" si="65"/>
        <v>-9</v>
      </c>
      <c r="Q50" s="1">
        <v>-9</v>
      </c>
      <c r="R50" s="1">
        <f t="shared" si="66"/>
        <v>-10</v>
      </c>
      <c r="S50" s="1">
        <v>-123.1</v>
      </c>
      <c r="T50" s="1">
        <f t="shared" si="62"/>
        <v>-123.1</v>
      </c>
      <c r="U50" s="1">
        <f t="shared" si="75"/>
        <v>-123</v>
      </c>
      <c r="V50" s="1">
        <f t="shared" si="76"/>
        <v>-124</v>
      </c>
      <c r="W50" s="1">
        <v>-9</v>
      </c>
      <c r="X50" s="1">
        <f t="shared" si="67"/>
        <v>-9</v>
      </c>
      <c r="Y50" s="1">
        <v>-9</v>
      </c>
      <c r="Z50" s="1">
        <f t="shared" si="68"/>
        <v>-10</v>
      </c>
      <c r="AA50" s="1">
        <v>-123.1</v>
      </c>
      <c r="AB50" s="1">
        <f t="shared" si="21"/>
        <v>-133.1</v>
      </c>
      <c r="AC50" s="1">
        <f t="shared" si="77"/>
        <v>-133</v>
      </c>
      <c r="AD50" s="1">
        <f t="shared" si="78"/>
        <v>-134</v>
      </c>
      <c r="AF50" s="1">
        <v>-9</v>
      </c>
      <c r="AG50" s="1">
        <f t="shared" si="69"/>
        <v>-9</v>
      </c>
      <c r="AI50" s="1">
        <v>-9</v>
      </c>
      <c r="AJ50" s="1">
        <f t="shared" si="70"/>
        <v>-10</v>
      </c>
    </row>
    <row r="51" spans="1:36">
      <c r="A51" s="1">
        <v>-123.1</v>
      </c>
      <c r="B51" s="1">
        <f t="shared" si="38"/>
        <v>-123.1</v>
      </c>
      <c r="C51" s="1">
        <f t="shared" si="71"/>
        <v>-123</v>
      </c>
      <c r="D51" s="1">
        <f t="shared" si="72"/>
        <v>-124</v>
      </c>
      <c r="I51" s="1">
        <v>-123.1</v>
      </c>
      <c r="J51" s="1">
        <f t="shared" si="79"/>
        <v>-123.1</v>
      </c>
      <c r="K51" s="1">
        <f t="shared" si="73"/>
        <v>-123</v>
      </c>
      <c r="L51" s="1">
        <f t="shared" si="74"/>
        <v>-124</v>
      </c>
      <c r="S51" s="1">
        <v>-123.1</v>
      </c>
      <c r="T51" s="1">
        <f t="shared" si="62"/>
        <v>-123.1</v>
      </c>
      <c r="U51" s="1">
        <f t="shared" si="75"/>
        <v>-123</v>
      </c>
      <c r="V51" s="1">
        <f t="shared" si="76"/>
        <v>-124</v>
      </c>
      <c r="AA51" s="1">
        <v>-123.1</v>
      </c>
      <c r="AB51" s="1">
        <f t="shared" si="21"/>
        <v>-123.1</v>
      </c>
      <c r="AC51" s="1">
        <f t="shared" si="77"/>
        <v>-123</v>
      </c>
      <c r="AD51" s="1">
        <f t="shared" si="78"/>
        <v>-124</v>
      </c>
    </row>
    <row r="52" spans="1:36">
      <c r="A52" s="1">
        <v>-284.60000000000002</v>
      </c>
      <c r="B52" s="1">
        <f t="shared" si="38"/>
        <v>-284.60000000000002</v>
      </c>
      <c r="C52" s="1">
        <f t="shared" si="71"/>
        <v>-284</v>
      </c>
      <c r="D52" s="1">
        <f t="shared" si="72"/>
        <v>-285</v>
      </c>
      <c r="I52" s="1">
        <v>-284.60000000000002</v>
      </c>
      <c r="J52" s="1">
        <f t="shared" si="79"/>
        <v>-284.60000000000002</v>
      </c>
      <c r="K52" s="1">
        <f t="shared" si="73"/>
        <v>-284</v>
      </c>
      <c r="L52" s="1">
        <f t="shared" si="74"/>
        <v>-285</v>
      </c>
      <c r="S52" s="1">
        <v>-284.60000000000002</v>
      </c>
      <c r="T52" s="1">
        <f t="shared" si="62"/>
        <v>-284.60000000000002</v>
      </c>
      <c r="U52" s="1">
        <f t="shared" si="75"/>
        <v>-284</v>
      </c>
      <c r="V52" s="1">
        <f t="shared" si="76"/>
        <v>-285</v>
      </c>
      <c r="AA52" s="1">
        <v>-284.60000000000002</v>
      </c>
      <c r="AB52" s="1">
        <f t="shared" si="21"/>
        <v>-284.60000000000002</v>
      </c>
      <c r="AC52" s="1">
        <f t="shared" si="77"/>
        <v>-284</v>
      </c>
      <c r="AD52" s="1">
        <f t="shared" si="78"/>
        <v>-285</v>
      </c>
    </row>
    <row r="53" spans="1:36">
      <c r="A53" s="1">
        <v>-446.2</v>
      </c>
      <c r="B53" s="1">
        <f t="shared" si="38"/>
        <v>-446.2</v>
      </c>
      <c r="C53" s="1">
        <f t="shared" si="71"/>
        <v>-446</v>
      </c>
      <c r="D53" s="1">
        <f t="shared" si="72"/>
        <v>-447</v>
      </c>
      <c r="I53" s="1">
        <v>-446.2</v>
      </c>
      <c r="J53" s="1">
        <f t="shared" si="79"/>
        <v>-446.2</v>
      </c>
      <c r="K53" s="1">
        <f t="shared" si="73"/>
        <v>-446</v>
      </c>
      <c r="L53" s="1">
        <f t="shared" si="74"/>
        <v>-447</v>
      </c>
      <c r="S53" s="1">
        <v>-446.2</v>
      </c>
      <c r="T53" s="1">
        <f t="shared" si="62"/>
        <v>-446.2</v>
      </c>
      <c r="U53" s="1">
        <f t="shared" si="75"/>
        <v>-446</v>
      </c>
      <c r="V53" s="1">
        <f t="shared" si="76"/>
        <v>-447</v>
      </c>
      <c r="AA53" s="1">
        <v>-446.2</v>
      </c>
      <c r="AB53" s="1">
        <f t="shared" si="21"/>
        <v>-446.2</v>
      </c>
      <c r="AC53" s="1">
        <f t="shared" si="77"/>
        <v>-446</v>
      </c>
      <c r="AD53" s="1">
        <f t="shared" si="78"/>
        <v>-447</v>
      </c>
    </row>
  </sheetData>
  <dataConsolidate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Xatolarni topish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Sherzod Qodirov</dc:creator>
  <cp:lastModifiedBy>user</cp:lastModifiedBy>
  <dcterms:created xsi:type="dcterms:W3CDTF">2015-06-03T00:53:47Z</dcterms:created>
  <dcterms:modified xsi:type="dcterms:W3CDTF">2015-07-19T11:19:23Z</dcterms:modified>
</cp:coreProperties>
</file>