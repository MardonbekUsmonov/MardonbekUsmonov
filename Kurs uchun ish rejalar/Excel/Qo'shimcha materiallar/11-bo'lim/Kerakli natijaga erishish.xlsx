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rdonbek_97\video mp_4\darslik videolar\VLOG_UZ darslari\Excell\Qo'shimcha materiallar\Qo'shimcha materiallar\11-bo'lim\"/>
    </mc:Choice>
  </mc:AlternateContent>
  <bookViews>
    <workbookView xWindow="240" yWindow="75" windowWidth="20055" windowHeight="7935"/>
  </bookViews>
  <sheets>
    <sheet name="Лист1" sheetId="1" r:id="rId1"/>
    <sheet name="Лист2" sheetId="2" r:id="rId2"/>
    <sheet name="Лист3" sheetId="3" r:id="rId3"/>
  </sheets>
  <calcPr calcId="162913"/>
</workbook>
</file>

<file path=xl/calcChain.xml><?xml version="1.0" encoding="utf-8"?>
<calcChain xmlns="http://schemas.openxmlformats.org/spreadsheetml/2006/main">
  <c r="I11" i="1" l="1"/>
  <c r="E11" i="1"/>
  <c r="E12" i="1"/>
  <c r="I9" i="1"/>
  <c r="E9" i="1"/>
  <c r="G9" i="1"/>
</calcChain>
</file>

<file path=xl/sharedStrings.xml><?xml version="1.0" encoding="utf-8"?>
<sst xmlns="http://schemas.openxmlformats.org/spreadsheetml/2006/main" count="5" uniqueCount="5">
  <si>
    <t>Kredit miqdori</t>
  </si>
  <si>
    <t>Kredit foiz stavkasi</t>
  </si>
  <si>
    <t>To'lov davri (yil)</t>
  </si>
  <si>
    <t>Oyiga to'lanadigan pul miqdori</t>
  </si>
  <si>
    <t>жами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</si>
</sst>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8" formatCode="#,##0.00\ &quot;₽&quot;;[Red]\-#,##0.00\ &quot;₽&quot;"/>
    <numFmt numFmtId="164" formatCode="_-* #,##0.00&quot;р.&quot;_-;\-* #,##0.00&quot;р.&quot;_-;_-* &quot;-&quot;??&quot;р.&quot;_-;_-@_-"/>
    <numFmt numFmtId="165" formatCode="_-* #,##0\ [$so'm-443]_-;\-* #,##0\ [$so'm-443]_-;_-* &quot;-&quot;\ [$so'm-443]_-;_-@_-"/>
    <numFmt numFmtId="166" formatCode="0.0%"/>
    <numFmt numFmtId="170" formatCode="_-* #,##0.00\ [$so'm-443]_-;\-* #,##0.00\ [$so'm-443]_-;_-* &quot;-&quot;??\ [$so'm-443]_-;_-@_-"/>
    <numFmt numFmtId="172" formatCode="#,##0.00\ &quot;₽&quot;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165" fontId="1" fillId="0" borderId="0" xfId="1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66" fontId="1" fillId="0" borderId="0" xfId="2" applyNumberFormat="1" applyFont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 wrapText="1"/>
    </xf>
    <xf numFmtId="166" fontId="0" fillId="0" borderId="0" xfId="2" applyNumberFormat="1" applyFont="1" applyAlignment="1">
      <alignment horizontal="left" vertical="center"/>
    </xf>
    <xf numFmtId="8" fontId="0" fillId="0" borderId="0" xfId="0" applyNumberFormat="1"/>
    <xf numFmtId="170" fontId="0" fillId="0" borderId="0" xfId="0" applyNumberFormat="1"/>
    <xf numFmtId="172" fontId="0" fillId="0" borderId="0" xfId="0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165" fontId="0" fillId="0" borderId="0" xfId="0" applyNumberFormat="1"/>
    <xf numFmtId="2" fontId="0" fillId="0" borderId="0" xfId="0" applyNumberFormat="1" applyAlignment="1">
      <alignment horizontal="left" vertical="center"/>
    </xf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K12"/>
  <sheetViews>
    <sheetView tabSelected="1" topLeftCell="B1" zoomScale="140" zoomScaleNormal="140" workbookViewId="0">
      <selection activeCell="G9" sqref="G9"/>
    </sheetView>
  </sheetViews>
  <sheetFormatPr defaultRowHeight="15" x14ac:dyDescent="0.25"/>
  <cols>
    <col min="4" max="4" width="14.7109375" customWidth="1"/>
    <col min="5" max="5" width="18" customWidth="1"/>
    <col min="7" max="7" width="17" bestFit="1" customWidth="1"/>
    <col min="9" max="9" width="17.140625" bestFit="1" customWidth="1"/>
    <col min="11" max="11" width="20.140625" customWidth="1"/>
  </cols>
  <sheetData>
    <row r="3" spans="3:11" s="1" customFormat="1" ht="35.25" customHeight="1" x14ac:dyDescent="0.25">
      <c r="C3" s="6" t="s">
        <v>0</v>
      </c>
      <c r="D3" s="6"/>
      <c r="E3" s="3">
        <v>10000000</v>
      </c>
      <c r="G3" s="3">
        <v>3000000</v>
      </c>
      <c r="I3" s="13">
        <v>100000000</v>
      </c>
      <c r="K3" s="3"/>
    </row>
    <row r="4" spans="3:11" ht="6.75" customHeight="1" x14ac:dyDescent="0.25">
      <c r="E4" s="2"/>
    </row>
    <row r="5" spans="3:11" s="1" customFormat="1" ht="35.25" customHeight="1" x14ac:dyDescent="0.25">
      <c r="C5" s="7" t="s">
        <v>1</v>
      </c>
      <c r="D5" s="7"/>
      <c r="E5" s="5">
        <v>0.12</v>
      </c>
      <c r="G5" s="10">
        <v>0.12</v>
      </c>
      <c r="I5" s="14">
        <v>0.14000000000000001</v>
      </c>
      <c r="K5" s="14"/>
    </row>
    <row r="6" spans="3:11" ht="6.75" customHeight="1" x14ac:dyDescent="0.25">
      <c r="E6" s="2"/>
    </row>
    <row r="7" spans="3:11" s="1" customFormat="1" ht="35.25" customHeight="1" x14ac:dyDescent="0.25">
      <c r="C7" s="8" t="s">
        <v>2</v>
      </c>
      <c r="D7" s="8"/>
      <c r="E7" s="4">
        <v>6</v>
      </c>
      <c r="G7" s="1">
        <v>2</v>
      </c>
      <c r="I7" s="1">
        <v>5</v>
      </c>
      <c r="K7" s="16"/>
    </row>
    <row r="8" spans="3:11" ht="6.75" customHeight="1" x14ac:dyDescent="0.25"/>
    <row r="9" spans="3:11" ht="35.25" customHeight="1" x14ac:dyDescent="0.25">
      <c r="C9" s="9" t="s">
        <v>3</v>
      </c>
      <c r="D9" s="9"/>
      <c r="E9" s="3">
        <f>PMT(E5/12,E7*12,E3)</f>
        <v>-195501.92502699044</v>
      </c>
      <c r="G9" s="12">
        <f>PMT(G5/12,G7*12,G3)</f>
        <v>-141220.4166697941</v>
      </c>
      <c r="I9" s="11">
        <f>PMT(I5/12,I7*12,I3)</f>
        <v>-2326825.0849387697</v>
      </c>
      <c r="K9" s="3"/>
    </row>
    <row r="10" spans="3:11" x14ac:dyDescent="0.25">
      <c r="K10" s="3"/>
    </row>
    <row r="11" spans="3:11" x14ac:dyDescent="0.25">
      <c r="C11" t="s">
        <v>4</v>
      </c>
      <c r="E11" s="15">
        <f>E8*72</f>
        <v>0</v>
      </c>
      <c r="I11" s="11">
        <f>I9*I7*12</f>
        <v>-139609505.09632617</v>
      </c>
    </row>
    <row r="12" spans="3:11" x14ac:dyDescent="0.25">
      <c r="E12" s="15">
        <f>E9*72</f>
        <v>-14076138.601943312</v>
      </c>
    </row>
  </sheetData>
  <dataConsolidate/>
  <mergeCells count="4">
    <mergeCell ref="C3:D3"/>
    <mergeCell ref="C5:D5"/>
    <mergeCell ref="C7:D7"/>
    <mergeCell ref="C9:D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Mardonbek Usmonov</cp:lastModifiedBy>
  <dcterms:created xsi:type="dcterms:W3CDTF">2015-06-05T06:32:29Z</dcterms:created>
  <dcterms:modified xsi:type="dcterms:W3CDTF">2020-09-17T09:28:40Z</dcterms:modified>
</cp:coreProperties>
</file>