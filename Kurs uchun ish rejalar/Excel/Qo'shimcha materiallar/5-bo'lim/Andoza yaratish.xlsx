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G3" i="1"/>
  <c r="G4"/>
  <c r="G5"/>
  <c r="G6"/>
  <c r="G7"/>
  <c r="G8"/>
  <c r="G9"/>
  <c r="G10"/>
  <c r="C12"/>
  <c r="D12"/>
  <c r="E12"/>
  <c r="G12" l="1"/>
  <c r="H3" s="1"/>
  <c r="H4" l="1"/>
  <c r="H6"/>
  <c r="H8"/>
  <c r="H10"/>
  <c r="H5"/>
  <c r="H7"/>
  <c r="H9"/>
</calcChain>
</file>

<file path=xl/sharedStrings.xml><?xml version="1.0" encoding="utf-8"?>
<sst xmlns="http://schemas.openxmlformats.org/spreadsheetml/2006/main" count="16" uniqueCount="16">
  <si>
    <t>Yanvar</t>
  </si>
  <si>
    <t>Fevral</t>
  </si>
  <si>
    <t>Mart</t>
  </si>
  <si>
    <t>Foizda</t>
  </si>
  <si>
    <t>Toshkent shahri</t>
  </si>
  <si>
    <t>Toshkent viloyati</t>
  </si>
  <si>
    <t>Buxoro viloyati</t>
  </si>
  <si>
    <t>Samarqand viloyati</t>
  </si>
  <si>
    <t>Andijon viloyati</t>
  </si>
  <si>
    <t>Surxondaryo viloyati</t>
  </si>
  <si>
    <t>Farg'ona viloyati</t>
  </si>
  <si>
    <t>Navoiy viloyati</t>
  </si>
  <si>
    <t>Filiallar</t>
  </si>
  <si>
    <t>"Eshmat servis" MChJ _ kvartal bo'yicha hisobot</t>
  </si>
  <si>
    <r>
      <t xml:space="preserve">Jami 
</t>
    </r>
    <r>
      <rPr>
        <i/>
        <sz val="8"/>
        <color theme="1"/>
        <rFont val="Cambria"/>
        <family val="1"/>
        <charset val="204"/>
        <scheme val="major"/>
      </rPr>
      <t>(viloyatlar)</t>
    </r>
  </si>
  <si>
    <r>
      <t xml:space="preserve">Jami </t>
    </r>
    <r>
      <rPr>
        <i/>
        <sz val="8"/>
        <color theme="1"/>
        <rFont val="Cambria"/>
        <family val="1"/>
        <charset val="204"/>
        <scheme val="major"/>
      </rPr>
      <t>(oylar)</t>
    </r>
  </si>
</sst>
</file>

<file path=xl/styles.xml><?xml version="1.0" encoding="utf-8"?>
<styleSheet xmlns="http://schemas.openxmlformats.org/spreadsheetml/2006/main">
  <numFmts count="3">
    <numFmt numFmtId="43" formatCode="_-* #,##0.00_р_._-;\-* #,##0.00_р_._-;_-* &quot;-&quot;??_р_._-;_-@_-"/>
    <numFmt numFmtId="164" formatCode="0.0%"/>
    <numFmt numFmtId="166" formatCode="_-* #,##0\ [$so'm-443]_-;\-* #,##0\ [$so'm-443]_-;_-* &quot;-&quot;\ [$so'm-443]_-;_-@_-"/>
  </numFmts>
  <fonts count="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mbria"/>
      <family val="1"/>
      <charset val="204"/>
      <scheme val="major"/>
    </font>
    <font>
      <i/>
      <sz val="8"/>
      <color theme="1"/>
      <name val="Cambria"/>
      <family val="1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3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2" applyNumberFormat="1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6" fontId="0" fillId="0" borderId="1" xfId="2" applyNumberFormat="1" applyFont="1" applyBorder="1" applyAlignment="1">
      <alignment vertical="center"/>
    </xf>
    <xf numFmtId="166" fontId="0" fillId="0" borderId="1" xfId="1" applyNumberFormat="1" applyFont="1" applyBorder="1" applyAlignment="1">
      <alignment vertical="center"/>
    </xf>
    <xf numFmtId="166" fontId="3" fillId="2" borderId="1" xfId="1" applyNumberFormat="1" applyFont="1" applyFill="1" applyBorder="1" applyAlignment="1">
      <alignment vertical="center"/>
    </xf>
  </cellXfs>
  <cellStyles count="4">
    <cellStyle name="Название" xfId="3" builtinId="15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colors>
    <mruColors>
      <color rgb="FFCCE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16"/>
  <sheetViews>
    <sheetView tabSelected="1" workbookViewId="0">
      <selection activeCell="K13" sqref="K13"/>
    </sheetView>
  </sheetViews>
  <sheetFormatPr defaultRowHeight="15"/>
  <cols>
    <col min="1" max="1" width="14.5703125" style="1" customWidth="1"/>
    <col min="2" max="2" width="23.7109375" style="1" bestFit="1" customWidth="1"/>
    <col min="3" max="5" width="16.42578125" style="1" customWidth="1"/>
    <col min="6" max="6" width="0.5703125" style="1" customWidth="1"/>
    <col min="7" max="8" width="16.42578125" style="1" customWidth="1"/>
    <col min="9" max="16384" width="9.140625" style="1"/>
  </cols>
  <sheetData>
    <row r="1" spans="2:8" ht="41.25" customHeight="1">
      <c r="B1" s="5" t="s">
        <v>13</v>
      </c>
      <c r="C1" s="5"/>
      <c r="D1" s="5"/>
      <c r="E1" s="5"/>
      <c r="F1" s="5"/>
      <c r="G1" s="5"/>
      <c r="H1" s="5"/>
    </row>
    <row r="2" spans="2:8" ht="30" customHeight="1">
      <c r="B2" s="8" t="s">
        <v>12</v>
      </c>
      <c r="C2" s="8" t="s">
        <v>0</v>
      </c>
      <c r="D2" s="8" t="s">
        <v>1</v>
      </c>
      <c r="E2" s="8" t="s">
        <v>2</v>
      </c>
      <c r="F2"/>
      <c r="G2" s="9" t="s">
        <v>14</v>
      </c>
      <c r="H2" s="8" t="s">
        <v>3</v>
      </c>
    </row>
    <row r="3" spans="2:8" s="4" customFormat="1" ht="22.5" customHeight="1">
      <c r="B3" s="6" t="s">
        <v>4</v>
      </c>
      <c r="C3" s="11">
        <v>1234</v>
      </c>
      <c r="D3" s="11">
        <v>7458</v>
      </c>
      <c r="E3" s="11">
        <v>6546</v>
      </c>
      <c r="F3"/>
      <c r="G3" s="12">
        <f>SUM(C3:E3)</f>
        <v>15238</v>
      </c>
      <c r="H3" s="7">
        <f>G3/$G$12</f>
        <v>0.11848039063228936</v>
      </c>
    </row>
    <row r="4" spans="2:8" s="4" customFormat="1" ht="22.5" customHeight="1">
      <c r="B4" s="6" t="s">
        <v>5</v>
      </c>
      <c r="C4" s="13">
        <v>1234</v>
      </c>
      <c r="D4" s="13">
        <v>4658</v>
      </c>
      <c r="E4" s="13">
        <v>9844</v>
      </c>
      <c r="F4"/>
      <c r="G4" s="12">
        <f>SUM(C4:E4)</f>
        <v>15736</v>
      </c>
      <c r="H4" s="7">
        <f>G4/$G$12</f>
        <v>0.12235250209933754</v>
      </c>
    </row>
    <row r="5" spans="2:8" s="4" customFormat="1" ht="22.5" customHeight="1">
      <c r="B5" s="6" t="s">
        <v>6</v>
      </c>
      <c r="C5" s="13">
        <v>4568</v>
      </c>
      <c r="D5" s="13">
        <v>4547</v>
      </c>
      <c r="E5" s="13">
        <v>9879</v>
      </c>
      <c r="F5"/>
      <c r="G5" s="12">
        <f>SUM(C5:E5)</f>
        <v>18994</v>
      </c>
      <c r="H5" s="7">
        <f>G5/$G$12</f>
        <v>0.1476845084440021</v>
      </c>
    </row>
    <row r="6" spans="2:8" s="4" customFormat="1" ht="22.5" customHeight="1">
      <c r="B6" s="6" t="s">
        <v>7</v>
      </c>
      <c r="C6" s="13">
        <v>7894</v>
      </c>
      <c r="D6" s="13">
        <v>4648</v>
      </c>
      <c r="E6" s="13">
        <v>6468</v>
      </c>
      <c r="F6"/>
      <c r="G6" s="12">
        <f>SUM(C6:E6)</f>
        <v>19010</v>
      </c>
      <c r="H6" s="7">
        <f>G6/$G$12</f>
        <v>0.14780891363169843</v>
      </c>
    </row>
    <row r="7" spans="2:8" s="4" customFormat="1" ht="22.5" customHeight="1">
      <c r="B7" s="6" t="s">
        <v>8</v>
      </c>
      <c r="C7" s="13">
        <v>1234</v>
      </c>
      <c r="D7" s="13">
        <v>9987</v>
      </c>
      <c r="E7" s="13">
        <v>6464</v>
      </c>
      <c r="F7"/>
      <c r="G7" s="12">
        <f>SUM(C7:E7)</f>
        <v>17685</v>
      </c>
      <c r="H7" s="7">
        <f>G7/$G$12</f>
        <v>0.13750660902559636</v>
      </c>
    </row>
    <row r="8" spans="2:8" s="4" customFormat="1" ht="22.5" customHeight="1">
      <c r="B8" s="6" t="s">
        <v>9</v>
      </c>
      <c r="C8" s="13">
        <v>4687</v>
      </c>
      <c r="D8" s="13">
        <v>9987</v>
      </c>
      <c r="E8" s="13">
        <v>6546</v>
      </c>
      <c r="F8"/>
      <c r="G8" s="12">
        <f>SUM(C8:E8)</f>
        <v>21220</v>
      </c>
      <c r="H8" s="7">
        <f>G8/$G$12</f>
        <v>0.1649923801822536</v>
      </c>
    </row>
    <row r="9" spans="2:8" s="4" customFormat="1" ht="22.5" customHeight="1">
      <c r="B9" s="6" t="s">
        <v>10</v>
      </c>
      <c r="C9" s="13">
        <v>4658</v>
      </c>
      <c r="D9" s="13">
        <v>1185</v>
      </c>
      <c r="E9" s="13">
        <v>4456</v>
      </c>
      <c r="F9"/>
      <c r="G9" s="12">
        <f>SUM(C9:E9)</f>
        <v>10299</v>
      </c>
      <c r="H9" s="7">
        <f>G9/$G$12</f>
        <v>8.0078064255279441E-2</v>
      </c>
    </row>
    <row r="10" spans="2:8" s="4" customFormat="1" ht="22.5" customHeight="1">
      <c r="B10" s="6" t="s">
        <v>11</v>
      </c>
      <c r="C10" s="13">
        <v>4869</v>
      </c>
      <c r="D10" s="13">
        <v>4448</v>
      </c>
      <c r="E10" s="13">
        <v>1113</v>
      </c>
      <c r="F10"/>
      <c r="G10" s="12">
        <f>SUM(C10:E10)</f>
        <v>10430</v>
      </c>
      <c r="H10" s="7">
        <f>G10/$G$12</f>
        <v>8.1096631729543123E-2</v>
      </c>
    </row>
    <row r="11" spans="2:8" customFormat="1" ht="3" customHeight="1"/>
    <row r="12" spans="2:8" ht="27" customHeight="1">
      <c r="B12" s="10" t="s">
        <v>15</v>
      </c>
      <c r="C12" s="13">
        <f>SUM(C3:C10)</f>
        <v>30378</v>
      </c>
      <c r="D12" s="13">
        <f>SUM(D3:D10)</f>
        <v>46918</v>
      </c>
      <c r="E12" s="13">
        <f>SUM(E3:E10)</f>
        <v>51316</v>
      </c>
      <c r="F12"/>
      <c r="G12" s="14">
        <f>SUM(C12:E12)</f>
        <v>128612</v>
      </c>
    </row>
    <row r="13" spans="2:8">
      <c r="C13" s="2"/>
      <c r="D13" s="2"/>
      <c r="E13" s="2"/>
      <c r="F13"/>
    </row>
    <row r="14" spans="2:8">
      <c r="C14" s="2"/>
      <c r="D14" s="2"/>
      <c r="E14" s="2"/>
      <c r="F14"/>
    </row>
    <row r="15" spans="2:8">
      <c r="C15" s="2"/>
      <c r="D15" s="2"/>
      <c r="E15" s="2"/>
      <c r="F15" s="2"/>
    </row>
    <row r="16" spans="2:8">
      <c r="C16" s="3"/>
      <c r="D16" s="2"/>
      <c r="E16" s="2"/>
      <c r="F16" s="2"/>
    </row>
  </sheetData>
  <mergeCells count="1">
    <mergeCell ref="B1:H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2015-05-27T05:35:24Z</dcterms:modified>
</cp:coreProperties>
</file>