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2" sheetId="2" r:id="rId1"/>
  </sheets>
  <calcPr calcId="124519"/>
</workbook>
</file>

<file path=xl/calcChain.xml><?xml version="1.0" encoding="utf-8"?>
<calcChain xmlns="http://schemas.openxmlformats.org/spreadsheetml/2006/main"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</calcChain>
</file>

<file path=xl/sharedStrings.xml><?xml version="1.0" encoding="utf-8"?>
<sst xmlns="http://schemas.openxmlformats.org/spreadsheetml/2006/main" count="87" uniqueCount="27">
  <si>
    <t>Toshmatov A.</t>
  </si>
  <si>
    <t>Boltayev K.</t>
  </si>
  <si>
    <t>Teshayev J.</t>
  </si>
  <si>
    <t>Sobirov S.</t>
  </si>
  <si>
    <t>Eshmatov D.</t>
  </si>
  <si>
    <t>Olimov L.</t>
  </si>
  <si>
    <t>Temurov G.</t>
  </si>
  <si>
    <t>G'ulomov F.</t>
  </si>
  <si>
    <t>Jo'rayev K.</t>
  </si>
  <si>
    <t>Zuparova K.</t>
  </si>
  <si>
    <t>Holiqova S.</t>
  </si>
  <si>
    <t>Talabaning nasl-nomasi</t>
  </si>
  <si>
    <t>Kurs</t>
  </si>
  <si>
    <t>Guruhi</t>
  </si>
  <si>
    <t>IQT-55</t>
  </si>
  <si>
    <t>JHH-10</t>
  </si>
  <si>
    <t>DFF-44</t>
  </si>
  <si>
    <t>SDD-77</t>
  </si>
  <si>
    <t>№</t>
  </si>
  <si>
    <t>Qoldirgan soatlari</t>
  </si>
  <si>
    <t>Bahosi</t>
  </si>
  <si>
    <t>Reytingi</t>
  </si>
  <si>
    <t>Mahmudov M.</t>
  </si>
  <si>
    <t>Jumanov J.</t>
  </si>
  <si>
    <t>Zuparova S.</t>
  </si>
  <si>
    <t>Jo'rayeva K.</t>
  </si>
  <si>
    <t>Qobilova J.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</si>
</sst>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 tint="-4.9989318521683403E-2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0">
    <dxf>
      <numFmt numFmtId="164" formatCode="0.0%"/>
      <alignment horizontal="center" vertical="top" textRotation="0" wrapText="0" indent="0" relativeIndent="255" justifyLastLine="0" shrinkToFit="0" mergeCell="0" readingOrder="0"/>
    </dxf>
    <dxf>
      <alignment horizontal="center" textRotation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  <border diagonalUp="0" diagonalDown="0">
        <left/>
        <right/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relativeIndent="0" justifyLastLine="0" shrinkToFit="0" mergeCell="0" readingOrder="0"/>
      <border diagonalUp="0" diagonalDown="0">
        <left/>
        <right style="thin">
          <color theme="1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B2:H42" totalsRowShown="0" headerRowDxfId="9" headerRowBorderDxfId="8" tableBorderDxfId="7">
  <tableColumns count="7">
    <tableColumn id="1" name="№" dataDxfId="6"/>
    <tableColumn id="2" name="Talabaning nasl-nomasi" dataDxfId="5"/>
    <tableColumn id="3" name="Kurs" dataDxfId="4"/>
    <tableColumn id="4" name="Guruhi" dataDxfId="3"/>
    <tableColumn id="5" name="Qoldirgan soatlari" dataDxfId="2"/>
    <tableColumn id="6" name="Bahosi" dataDxfId="1"/>
    <tableColumn id="7" name="Reytingi" dataDxfId="0" dataCellStyle="Процентный">
      <calculatedColumnFormula>IF(Таблица2[[#This Row],[Bahosi]]&gt;=5,90%,77%)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42"/>
  <sheetViews>
    <sheetView tabSelected="1" topLeftCell="C1" zoomScale="90" zoomScaleNormal="90" workbookViewId="0">
      <selection activeCell="I2" sqref="I2"/>
    </sheetView>
  </sheetViews>
  <sheetFormatPr defaultRowHeight="15"/>
  <cols>
    <col min="1" max="1" width="6.85546875" customWidth="1"/>
    <col min="2" max="2" width="5.42578125" customWidth="1"/>
    <col min="3" max="3" width="25.5703125" customWidth="1"/>
    <col min="4" max="4" width="7.5703125" customWidth="1"/>
    <col min="5" max="5" width="12.140625" customWidth="1"/>
    <col min="6" max="6" width="19.28515625" style="4" customWidth="1"/>
    <col min="7" max="7" width="8.28515625" style="4" customWidth="1"/>
    <col min="8" max="8" width="13.28515625" style="4" customWidth="1"/>
  </cols>
  <sheetData>
    <row r="1" spans="2:8" ht="20.25" customHeight="1">
      <c r="B1" s="13"/>
      <c r="C1" s="13"/>
      <c r="D1" s="13"/>
      <c r="E1" s="13"/>
      <c r="F1" s="13"/>
      <c r="G1" s="13"/>
      <c r="H1" s="13"/>
    </row>
    <row r="2" spans="2:8" ht="24.75" customHeight="1">
      <c r="B2" s="7" t="s">
        <v>18</v>
      </c>
      <c r="C2" s="7" t="s">
        <v>11</v>
      </c>
      <c r="D2" s="7" t="s">
        <v>12</v>
      </c>
      <c r="E2" s="7" t="s">
        <v>13</v>
      </c>
      <c r="F2" s="7" t="s">
        <v>19</v>
      </c>
      <c r="G2" s="8" t="s">
        <v>20</v>
      </c>
      <c r="H2" s="7" t="s">
        <v>21</v>
      </c>
    </row>
    <row r="3" spans="2:8" ht="19.5" customHeight="1">
      <c r="B3" s="1">
        <v>1</v>
      </c>
      <c r="C3" s="14" t="s">
        <v>0</v>
      </c>
      <c r="D3" s="5">
        <v>1</v>
      </c>
      <c r="E3" s="6" t="s">
        <v>14</v>
      </c>
      <c r="F3" s="10">
        <v>23</v>
      </c>
      <c r="G3" s="11">
        <v>5</v>
      </c>
      <c r="H3" s="12">
        <f>IF(Таблица2[[#This Row],[Bahosi]]&gt;=5,90%,77%)</f>
        <v>0.9</v>
      </c>
    </row>
    <row r="4" spans="2:8" ht="19.5" customHeight="1">
      <c r="B4" s="1">
        <v>2</v>
      </c>
      <c r="C4" s="15" t="s">
        <v>26</v>
      </c>
      <c r="D4" s="5">
        <v>4</v>
      </c>
      <c r="E4" s="6" t="s">
        <v>17</v>
      </c>
      <c r="F4" s="10">
        <v>54</v>
      </c>
      <c r="G4" s="11">
        <v>5</v>
      </c>
      <c r="H4" s="12">
        <f>IF(Таблица2[[#This Row],[Bahosi]]&gt;=5,90%,77%)</f>
        <v>0.9</v>
      </c>
    </row>
    <row r="5" spans="2:8" ht="19.5" customHeight="1">
      <c r="B5" s="1">
        <v>3</v>
      </c>
      <c r="C5" s="2" t="s">
        <v>2</v>
      </c>
      <c r="D5" s="5">
        <v>3</v>
      </c>
      <c r="E5" s="6" t="s">
        <v>16</v>
      </c>
      <c r="F5" s="10">
        <v>5</v>
      </c>
      <c r="G5" s="11">
        <v>5</v>
      </c>
      <c r="H5" s="12">
        <f>IF(Таблица2[[#This Row],[Bahosi]]&gt;=5,90%,77%)</f>
        <v>0.9</v>
      </c>
    </row>
    <row r="6" spans="2:8" ht="19.5" customHeight="1">
      <c r="B6" s="1">
        <v>4</v>
      </c>
      <c r="C6" s="15" t="s">
        <v>22</v>
      </c>
      <c r="D6" s="5">
        <v>1</v>
      </c>
      <c r="E6" s="6" t="s">
        <v>14</v>
      </c>
      <c r="F6" s="10">
        <v>41</v>
      </c>
      <c r="G6" s="11">
        <v>4</v>
      </c>
      <c r="H6" s="12">
        <f>IF(Таблица2[[#This Row],[Bahosi]]&gt;=5,90%,77%)</f>
        <v>0.77</v>
      </c>
    </row>
    <row r="7" spans="2:8" ht="19.5" customHeight="1">
      <c r="B7" s="1">
        <v>5</v>
      </c>
      <c r="C7" s="2" t="s">
        <v>4</v>
      </c>
      <c r="D7" s="5">
        <v>3</v>
      </c>
      <c r="E7" s="6" t="s">
        <v>15</v>
      </c>
      <c r="F7" s="10">
        <v>5</v>
      </c>
      <c r="G7" s="11">
        <v>3</v>
      </c>
      <c r="H7" s="12">
        <f>IF(Таблица2[[#This Row],[Bahosi]]&gt;=5,90%,77%)</f>
        <v>0.77</v>
      </c>
    </row>
    <row r="8" spans="2:8" ht="19.5" customHeight="1">
      <c r="B8" s="1">
        <v>6</v>
      </c>
      <c r="C8" s="15" t="s">
        <v>23</v>
      </c>
      <c r="D8" s="5">
        <v>1</v>
      </c>
      <c r="E8" s="6" t="s">
        <v>15</v>
      </c>
      <c r="F8" s="10">
        <v>6</v>
      </c>
      <c r="G8" s="11">
        <v>3</v>
      </c>
      <c r="H8" s="12">
        <f>IF(Таблица2[[#This Row],[Bahosi]]&gt;=5,90%,77%)</f>
        <v>0.77</v>
      </c>
    </row>
    <row r="9" spans="2:8" ht="19.5" customHeight="1">
      <c r="B9" s="1">
        <v>7</v>
      </c>
      <c r="C9" s="2" t="s">
        <v>6</v>
      </c>
      <c r="D9" s="5">
        <v>4</v>
      </c>
      <c r="E9" s="6" t="s">
        <v>16</v>
      </c>
      <c r="F9" s="10">
        <v>4</v>
      </c>
      <c r="G9" s="11">
        <v>3</v>
      </c>
      <c r="H9" s="12">
        <f>IF(Таблица2[[#This Row],[Bahosi]]&gt;=5,90%,77%)</f>
        <v>0.77</v>
      </c>
    </row>
    <row r="10" spans="2:8" ht="19.5" customHeight="1">
      <c r="B10" s="1">
        <v>8</v>
      </c>
      <c r="C10" s="15" t="s">
        <v>7</v>
      </c>
      <c r="D10" s="5">
        <v>3</v>
      </c>
      <c r="E10" s="6" t="s">
        <v>17</v>
      </c>
      <c r="F10" s="10">
        <v>68</v>
      </c>
      <c r="G10" s="11">
        <v>4</v>
      </c>
      <c r="H10" s="12">
        <f>IF(Таблица2[[#This Row],[Bahosi]]&gt;=5,90%,77%)</f>
        <v>0.77</v>
      </c>
    </row>
    <row r="11" spans="2:8" ht="19.5" customHeight="1">
      <c r="B11" s="1">
        <v>9</v>
      </c>
      <c r="C11" s="15" t="s">
        <v>25</v>
      </c>
      <c r="D11" s="5">
        <v>1</v>
      </c>
      <c r="E11" s="6" t="s">
        <v>17</v>
      </c>
      <c r="F11" s="10">
        <v>4</v>
      </c>
      <c r="G11" s="11">
        <v>5</v>
      </c>
      <c r="H11" s="12">
        <f>IF(Таблица2[[#This Row],[Bahosi]]&gt;=5,90%,77%)</f>
        <v>0.9</v>
      </c>
    </row>
    <row r="12" spans="2:8" ht="19.5" customHeight="1">
      <c r="B12" s="1">
        <v>10</v>
      </c>
      <c r="C12" s="15" t="s">
        <v>24</v>
      </c>
      <c r="D12" s="5">
        <v>2</v>
      </c>
      <c r="E12" s="6" t="s">
        <v>17</v>
      </c>
      <c r="F12" s="10">
        <v>5</v>
      </c>
      <c r="G12" s="11">
        <v>5</v>
      </c>
      <c r="H12" s="12">
        <f>IF(Таблица2[[#This Row],[Bahosi]]&gt;=5,90%,77%)</f>
        <v>0.9</v>
      </c>
    </row>
    <row r="13" spans="2:8" ht="19.5" customHeight="1">
      <c r="B13" s="1">
        <v>11</v>
      </c>
      <c r="C13" s="2" t="s">
        <v>10</v>
      </c>
      <c r="D13" s="5">
        <v>4</v>
      </c>
      <c r="E13" s="6" t="s">
        <v>16</v>
      </c>
      <c r="F13" s="10">
        <v>1</v>
      </c>
      <c r="G13" s="11">
        <v>4</v>
      </c>
      <c r="H13" s="12">
        <f>IF(Таблица2[[#This Row],[Bahosi]]&gt;=5,90%,77%)</f>
        <v>0.77</v>
      </c>
    </row>
    <row r="14" spans="2:8" ht="19.5" customHeight="1">
      <c r="B14" s="1">
        <v>12</v>
      </c>
      <c r="C14" s="2" t="s">
        <v>0</v>
      </c>
      <c r="D14" s="5">
        <v>1</v>
      </c>
      <c r="E14" s="6" t="s">
        <v>17</v>
      </c>
      <c r="F14" s="10">
        <v>6</v>
      </c>
      <c r="G14" s="11">
        <v>3</v>
      </c>
      <c r="H14" s="12">
        <f>IF(Таблица2[[#This Row],[Bahosi]]&gt;=5,90%,77%)</f>
        <v>0.77</v>
      </c>
    </row>
    <row r="15" spans="2:8" ht="19.5" customHeight="1">
      <c r="B15" s="1">
        <v>13</v>
      </c>
      <c r="C15" s="2" t="s">
        <v>1</v>
      </c>
      <c r="D15" s="5">
        <v>2</v>
      </c>
      <c r="E15" s="6" t="s">
        <v>17</v>
      </c>
      <c r="F15" s="10">
        <v>45</v>
      </c>
      <c r="G15" s="11">
        <v>3</v>
      </c>
      <c r="H15" s="12">
        <f>IF(Таблица2[[#This Row],[Bahosi]]&gt;=5,90%,77%)</f>
        <v>0.77</v>
      </c>
    </row>
    <row r="16" spans="2:8" ht="19.5" customHeight="1">
      <c r="B16" s="1">
        <v>14</v>
      </c>
      <c r="C16" s="2" t="s">
        <v>2</v>
      </c>
      <c r="D16" s="5">
        <v>4</v>
      </c>
      <c r="E16" s="6" t="s">
        <v>16</v>
      </c>
      <c r="F16" s="10">
        <v>98</v>
      </c>
      <c r="G16" s="11">
        <v>4</v>
      </c>
      <c r="H16" s="12">
        <f>IF(Таблица2[[#This Row],[Bahosi]]&gt;=5,90%,77%)</f>
        <v>0.77</v>
      </c>
    </row>
    <row r="17" spans="2:8" ht="19.5" customHeight="1">
      <c r="B17" s="1">
        <v>15</v>
      </c>
      <c r="C17" s="2" t="s">
        <v>3</v>
      </c>
      <c r="D17" s="5">
        <v>2</v>
      </c>
      <c r="E17" s="6" t="s">
        <v>17</v>
      </c>
      <c r="F17" s="10">
        <v>4</v>
      </c>
      <c r="G17" s="11">
        <v>5</v>
      </c>
      <c r="H17" s="12">
        <f>IF(Таблица2[[#This Row],[Bahosi]]&gt;=5,90%,77%)</f>
        <v>0.9</v>
      </c>
    </row>
    <row r="18" spans="2:8" ht="19.5" customHeight="1">
      <c r="B18" s="1">
        <v>16</v>
      </c>
      <c r="C18" s="2" t="s">
        <v>4</v>
      </c>
      <c r="D18" s="5">
        <v>3</v>
      </c>
      <c r="E18" s="6" t="s">
        <v>17</v>
      </c>
      <c r="F18" s="10">
        <v>0</v>
      </c>
      <c r="G18" s="11">
        <v>3</v>
      </c>
      <c r="H18" s="12">
        <f>IF(Таблица2[[#This Row],[Bahosi]]&gt;=5,90%,77%)</f>
        <v>0.77</v>
      </c>
    </row>
    <row r="19" spans="2:8" ht="19.5" customHeight="1">
      <c r="B19" s="1">
        <v>17</v>
      </c>
      <c r="C19" s="2" t="s">
        <v>5</v>
      </c>
      <c r="D19" s="5">
        <v>2</v>
      </c>
      <c r="E19" s="6" t="s">
        <v>17</v>
      </c>
      <c r="F19" s="10">
        <v>1</v>
      </c>
      <c r="G19" s="11">
        <v>5</v>
      </c>
      <c r="H19" s="12">
        <f>IF(Таблица2[[#This Row],[Bahosi]]&gt;=5,90%,77%)</f>
        <v>0.9</v>
      </c>
    </row>
    <row r="20" spans="2:8" ht="19.5" customHeight="1">
      <c r="B20" s="1">
        <v>18</v>
      </c>
      <c r="C20" s="2" t="s">
        <v>6</v>
      </c>
      <c r="D20" s="5">
        <v>1</v>
      </c>
      <c r="E20" s="6" t="s">
        <v>14</v>
      </c>
      <c r="F20" s="10">
        <v>61</v>
      </c>
      <c r="G20" s="11">
        <v>5</v>
      </c>
      <c r="H20" s="12">
        <f>IF(Таблица2[[#This Row],[Bahosi]]&gt;=5,90%,77%)</f>
        <v>0.9</v>
      </c>
    </row>
    <row r="21" spans="2:8" ht="19.5" customHeight="1">
      <c r="B21" s="1">
        <v>19</v>
      </c>
      <c r="C21" s="2" t="s">
        <v>7</v>
      </c>
      <c r="D21" s="5">
        <v>2</v>
      </c>
      <c r="E21" s="6" t="s">
        <v>14</v>
      </c>
      <c r="F21" s="10">
        <v>0</v>
      </c>
      <c r="G21" s="11">
        <v>5</v>
      </c>
      <c r="H21" s="12">
        <f>IF(Таблица2[[#This Row],[Bahosi]]&gt;=5,90%,77%)</f>
        <v>0.9</v>
      </c>
    </row>
    <row r="22" spans="2:8" ht="19.5" customHeight="1">
      <c r="B22" s="1">
        <v>20</v>
      </c>
      <c r="C22" s="2" t="s">
        <v>8</v>
      </c>
      <c r="D22" s="5">
        <v>3</v>
      </c>
      <c r="E22" s="6" t="s">
        <v>14</v>
      </c>
      <c r="F22" s="10">
        <v>2</v>
      </c>
      <c r="G22" s="11">
        <v>4</v>
      </c>
      <c r="H22" s="12">
        <f>IF(Таблица2[[#This Row],[Bahosi]]&gt;=5,90%,77%)</f>
        <v>0.77</v>
      </c>
    </row>
    <row r="23" spans="2:8" ht="19.5" customHeight="1">
      <c r="B23" s="1">
        <v>21</v>
      </c>
      <c r="C23" s="2" t="s">
        <v>9</v>
      </c>
      <c r="D23" s="5">
        <v>5</v>
      </c>
      <c r="E23" s="6" t="s">
        <v>15</v>
      </c>
      <c r="F23" s="10">
        <v>0</v>
      </c>
      <c r="G23" s="11">
        <v>3</v>
      </c>
      <c r="H23" s="12">
        <f>IF(Таблица2[[#This Row],[Bahosi]]&gt;=5,90%,77%)</f>
        <v>0.77</v>
      </c>
    </row>
    <row r="24" spans="2:8" ht="19.5" customHeight="1">
      <c r="B24" s="1">
        <v>22</v>
      </c>
      <c r="C24" s="2" t="s">
        <v>10</v>
      </c>
      <c r="D24" s="5">
        <v>4</v>
      </c>
      <c r="E24" s="6" t="s">
        <v>16</v>
      </c>
      <c r="F24" s="10">
        <v>5</v>
      </c>
      <c r="G24" s="11">
        <v>3</v>
      </c>
      <c r="H24" s="12">
        <f>IF(Таблица2[[#This Row],[Bahosi]]&gt;=5,90%,77%)</f>
        <v>0.77</v>
      </c>
    </row>
    <row r="25" spans="2:8" ht="19.5" customHeight="1">
      <c r="B25" s="1">
        <v>23</v>
      </c>
      <c r="C25" s="2" t="s">
        <v>8</v>
      </c>
      <c r="D25" s="5">
        <v>5</v>
      </c>
      <c r="E25" s="6" t="s">
        <v>14</v>
      </c>
      <c r="F25" s="10">
        <v>3</v>
      </c>
      <c r="G25" s="11">
        <v>3</v>
      </c>
      <c r="H25" s="12">
        <f>IF(Таблица2[[#This Row],[Bahosi]]&gt;=5,90%,77%)</f>
        <v>0.77</v>
      </c>
    </row>
    <row r="26" spans="2:8" ht="19.5" customHeight="1">
      <c r="B26" s="1">
        <v>24</v>
      </c>
      <c r="C26" s="2" t="s">
        <v>9</v>
      </c>
      <c r="D26" s="5">
        <v>4</v>
      </c>
      <c r="E26" s="6" t="s">
        <v>15</v>
      </c>
      <c r="F26" s="10">
        <v>6</v>
      </c>
      <c r="G26" s="11">
        <v>4</v>
      </c>
      <c r="H26" s="12">
        <f>IF(Таблица2[[#This Row],[Bahosi]]&gt;=5,90%,77%)</f>
        <v>0.77</v>
      </c>
    </row>
    <row r="27" spans="2:8" ht="19.5" customHeight="1">
      <c r="B27" s="1">
        <v>25</v>
      </c>
      <c r="C27" s="2" t="s">
        <v>10</v>
      </c>
      <c r="D27" s="5">
        <v>4</v>
      </c>
      <c r="E27" s="6" t="s">
        <v>14</v>
      </c>
      <c r="F27" s="10">
        <v>0</v>
      </c>
      <c r="G27" s="11">
        <v>5</v>
      </c>
      <c r="H27" s="12">
        <f>IF(Таблица2[[#This Row],[Bahosi]]&gt;=5,90%,77%)</f>
        <v>0.9</v>
      </c>
    </row>
    <row r="28" spans="2:8" ht="19.5" customHeight="1">
      <c r="B28" s="1">
        <v>26</v>
      </c>
      <c r="C28" s="2" t="s">
        <v>0</v>
      </c>
      <c r="D28" s="5">
        <v>3</v>
      </c>
      <c r="E28" s="6" t="s">
        <v>15</v>
      </c>
      <c r="F28" s="10">
        <v>0</v>
      </c>
      <c r="G28" s="11">
        <v>5</v>
      </c>
      <c r="H28" s="12">
        <f>IF(Таблица2[[#This Row],[Bahosi]]&gt;=5,90%,77%)</f>
        <v>0.9</v>
      </c>
    </row>
    <row r="29" spans="2:8" ht="19.5" customHeight="1">
      <c r="B29" s="1">
        <v>27</v>
      </c>
      <c r="C29" s="2" t="s">
        <v>1</v>
      </c>
      <c r="D29" s="5">
        <v>2</v>
      </c>
      <c r="E29" s="6" t="s">
        <v>14</v>
      </c>
      <c r="F29" s="10">
        <v>8</v>
      </c>
      <c r="G29" s="11">
        <v>4</v>
      </c>
      <c r="H29" s="12">
        <f>IF(Таблица2[[#This Row],[Bahosi]]&gt;=5,90%,77%)</f>
        <v>0.77</v>
      </c>
    </row>
    <row r="30" spans="2:8" ht="19.5" customHeight="1">
      <c r="B30" s="1">
        <v>28</v>
      </c>
      <c r="C30" s="2" t="s">
        <v>2</v>
      </c>
      <c r="D30" s="5">
        <v>1</v>
      </c>
      <c r="E30" s="6" t="s">
        <v>14</v>
      </c>
      <c r="F30" s="10">
        <v>1</v>
      </c>
      <c r="G30" s="11">
        <v>3</v>
      </c>
      <c r="H30" s="12">
        <f>IF(Таблица2[[#This Row],[Bahosi]]&gt;=5,90%,77%)</f>
        <v>0.77</v>
      </c>
    </row>
    <row r="31" spans="2:8" ht="19.5" customHeight="1">
      <c r="B31" s="1">
        <v>29</v>
      </c>
      <c r="C31" s="2" t="s">
        <v>3</v>
      </c>
      <c r="D31" s="5">
        <v>2</v>
      </c>
      <c r="E31" s="6" t="s">
        <v>14</v>
      </c>
      <c r="F31" s="10">
        <v>64</v>
      </c>
      <c r="G31" s="11">
        <v>3</v>
      </c>
      <c r="H31" s="12">
        <f>IF(Таблица2[[#This Row],[Bahosi]]&gt;=5,90%,77%)</f>
        <v>0.77</v>
      </c>
    </row>
    <row r="32" spans="2:8" ht="19.5" customHeight="1">
      <c r="B32" s="1">
        <v>30</v>
      </c>
      <c r="C32" s="2" t="s">
        <v>4</v>
      </c>
      <c r="D32" s="5">
        <v>3</v>
      </c>
      <c r="E32" s="6" t="s">
        <v>15</v>
      </c>
      <c r="F32" s="10">
        <v>85</v>
      </c>
      <c r="G32" s="11">
        <v>4</v>
      </c>
      <c r="H32" s="12">
        <f>IF(Таблица2[[#This Row],[Bahosi]]&gt;=5,90%,77%)</f>
        <v>0.77</v>
      </c>
    </row>
    <row r="33" spans="2:8" ht="19.5" customHeight="1">
      <c r="B33" s="1">
        <v>31</v>
      </c>
      <c r="C33" s="2" t="s">
        <v>5</v>
      </c>
      <c r="D33" s="5">
        <v>4</v>
      </c>
      <c r="E33" s="6" t="s">
        <v>15</v>
      </c>
      <c r="F33" s="10">
        <v>84</v>
      </c>
      <c r="G33" s="11">
        <v>5</v>
      </c>
      <c r="H33" s="12">
        <f>IF(Таблица2[[#This Row],[Bahosi]]&gt;=5,90%,77%)</f>
        <v>0.9</v>
      </c>
    </row>
    <row r="34" spans="2:8" ht="19.5" customHeight="1">
      <c r="B34" s="1">
        <v>32</v>
      </c>
      <c r="C34" s="2" t="s">
        <v>6</v>
      </c>
      <c r="D34" s="5">
        <v>4</v>
      </c>
      <c r="E34" s="6" t="s">
        <v>15</v>
      </c>
      <c r="F34" s="10">
        <v>6</v>
      </c>
      <c r="G34" s="11">
        <v>3</v>
      </c>
      <c r="H34" s="12">
        <f>IF(Таблица2[[#This Row],[Bahosi]]&gt;=5,90%,77%)</f>
        <v>0.77</v>
      </c>
    </row>
    <row r="35" spans="2:8" ht="19.5" customHeight="1">
      <c r="B35" s="1">
        <v>33</v>
      </c>
      <c r="C35" s="2" t="s">
        <v>7</v>
      </c>
      <c r="D35" s="5">
        <v>3</v>
      </c>
      <c r="E35" s="6" t="s">
        <v>15</v>
      </c>
      <c r="F35" s="10">
        <v>5</v>
      </c>
      <c r="G35" s="11">
        <v>3</v>
      </c>
      <c r="H35" s="12">
        <f>IF(Таблица2[[#This Row],[Bahosi]]&gt;=5,90%,77%)</f>
        <v>0.77</v>
      </c>
    </row>
    <row r="36" spans="2:8" ht="19.5" customHeight="1">
      <c r="B36" s="1">
        <v>34</v>
      </c>
      <c r="C36" s="2" t="s">
        <v>8</v>
      </c>
      <c r="D36" s="5">
        <v>3</v>
      </c>
      <c r="E36" s="6" t="s">
        <v>15</v>
      </c>
      <c r="F36" s="10">
        <v>4</v>
      </c>
      <c r="G36" s="11">
        <v>3</v>
      </c>
      <c r="H36" s="12">
        <f>IF(Таблица2[[#This Row],[Bahosi]]&gt;=5,90%,77%)</f>
        <v>0.77</v>
      </c>
    </row>
    <row r="37" spans="2:8" ht="19.5" customHeight="1">
      <c r="B37" s="1">
        <v>35</v>
      </c>
      <c r="C37" s="2" t="s">
        <v>9</v>
      </c>
      <c r="D37" s="5">
        <v>2</v>
      </c>
      <c r="E37" s="6" t="s">
        <v>15</v>
      </c>
      <c r="F37" s="10">
        <v>2</v>
      </c>
      <c r="G37" s="11">
        <v>4</v>
      </c>
      <c r="H37" s="12">
        <f>IF(Таблица2[[#This Row],[Bahosi]]&gt;=5,90%,77%)</f>
        <v>0.77</v>
      </c>
    </row>
    <row r="38" spans="2:8" ht="19.5" customHeight="1">
      <c r="B38" s="1">
        <v>36</v>
      </c>
      <c r="C38" s="2" t="s">
        <v>10</v>
      </c>
      <c r="D38" s="5">
        <v>1</v>
      </c>
      <c r="E38" s="6" t="s">
        <v>14</v>
      </c>
      <c r="F38" s="10">
        <v>6</v>
      </c>
      <c r="G38" s="11">
        <v>4</v>
      </c>
      <c r="H38" s="12">
        <f>IF(Таблица2[[#This Row],[Bahosi]]&gt;=5,90%,77%)</f>
        <v>0.77</v>
      </c>
    </row>
    <row r="39" spans="2:8" ht="19.5" customHeight="1">
      <c r="B39" s="1">
        <v>37</v>
      </c>
      <c r="C39" s="2" t="s">
        <v>7</v>
      </c>
      <c r="D39" s="5">
        <v>3</v>
      </c>
      <c r="E39" s="6" t="s">
        <v>15</v>
      </c>
      <c r="F39" s="10">
        <v>8</v>
      </c>
      <c r="G39" s="11">
        <v>4</v>
      </c>
      <c r="H39" s="12">
        <f>IF(Таблица2[[#This Row],[Bahosi]]&gt;=5,90%,77%)</f>
        <v>0.77</v>
      </c>
    </row>
    <row r="40" spans="2:8" ht="19.5" customHeight="1">
      <c r="B40" s="1">
        <v>38</v>
      </c>
      <c r="C40" s="2" t="s">
        <v>8</v>
      </c>
      <c r="D40" s="5">
        <v>2</v>
      </c>
      <c r="E40" s="6" t="s">
        <v>15</v>
      </c>
      <c r="F40" s="10">
        <v>4</v>
      </c>
      <c r="G40" s="11">
        <v>4</v>
      </c>
      <c r="H40" s="12">
        <f>IF(Таблица2[[#This Row],[Bahosi]]&gt;=5,90%,77%)</f>
        <v>0.77</v>
      </c>
    </row>
    <row r="41" spans="2:8" ht="19.5" customHeight="1">
      <c r="B41" s="1">
        <v>39</v>
      </c>
      <c r="C41" s="2" t="s">
        <v>9</v>
      </c>
      <c r="D41" s="5">
        <v>1</v>
      </c>
      <c r="E41" s="6" t="s">
        <v>15</v>
      </c>
      <c r="F41" s="10">
        <v>1</v>
      </c>
      <c r="G41" s="11">
        <v>4</v>
      </c>
      <c r="H41" s="12">
        <f>IF(Таблица2[[#This Row],[Bahosi]]&gt;=5,90%,77%)</f>
        <v>0.77</v>
      </c>
    </row>
    <row r="42" spans="2:8" ht="19.5" customHeight="1" thickBot="1">
      <c r="B42" s="3">
        <v>40</v>
      </c>
      <c r="C42" s="9" t="s">
        <v>10</v>
      </c>
      <c r="D42" s="3">
        <v>1</v>
      </c>
      <c r="E42" s="3" t="s">
        <v>14</v>
      </c>
      <c r="F42" s="3">
        <v>0</v>
      </c>
      <c r="G42" s="3">
        <v>5</v>
      </c>
      <c r="H42" s="12">
        <f>IF(Таблица2[[#This Row],[Bahosi]]&gt;=5,90%,77%)</f>
        <v>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2015-05-20T07:35:02Z</dcterms:created>
  <dcterms:modified xsi:type="dcterms:W3CDTF">2015-05-23T05:21:32Z</dcterms:modified>
</cp:coreProperties>
</file>