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Лист1!$A$1:$T$39</definedName>
  </definedNames>
  <calcPr calcId="124519"/>
</workbook>
</file>

<file path=xl/calcChain.xml><?xml version="1.0" encoding="utf-8"?>
<calcChain xmlns="http://schemas.openxmlformats.org/spreadsheetml/2006/main">
  <c r="S6" i="1"/>
  <c r="S7"/>
  <c r="S8"/>
  <c r="S9"/>
  <c r="S10"/>
  <c r="S11"/>
  <c r="S5"/>
  <c r="C16"/>
  <c r="B16"/>
  <c r="P16"/>
  <c r="O16"/>
  <c r="N16"/>
  <c r="L16"/>
  <c r="K16"/>
  <c r="J16"/>
  <c r="H16"/>
  <c r="G16"/>
  <c r="F16"/>
  <c r="D16"/>
  <c r="C33"/>
  <c r="C39" s="1"/>
  <c r="D33"/>
  <c r="F33"/>
  <c r="G33"/>
  <c r="H33"/>
  <c r="J33"/>
  <c r="K33"/>
  <c r="L33"/>
  <c r="N33"/>
  <c r="O33"/>
  <c r="P33"/>
  <c r="B33"/>
  <c r="B39" s="1"/>
  <c r="P32"/>
  <c r="O32"/>
  <c r="N32"/>
  <c r="L32"/>
  <c r="K32"/>
  <c r="J32"/>
  <c r="H32"/>
  <c r="G32"/>
  <c r="F32"/>
  <c r="D32"/>
  <c r="C32"/>
  <c r="B32"/>
  <c r="C15"/>
  <c r="D15"/>
  <c r="F15"/>
  <c r="G15"/>
  <c r="H15"/>
  <c r="J15"/>
  <c r="K15"/>
  <c r="L15"/>
  <c r="N15"/>
  <c r="O15"/>
  <c r="P15"/>
  <c r="B15"/>
  <c r="B38" s="1"/>
  <c r="Q22"/>
  <c r="Q23"/>
  <c r="Q24"/>
  <c r="Q25"/>
  <c r="Q26"/>
  <c r="Q27"/>
  <c r="Q28"/>
  <c r="M22"/>
  <c r="M23"/>
  <c r="M24"/>
  <c r="M25"/>
  <c r="M26"/>
  <c r="M27"/>
  <c r="M28"/>
  <c r="I22"/>
  <c r="I23"/>
  <c r="I24"/>
  <c r="I25"/>
  <c r="I26"/>
  <c r="I27"/>
  <c r="I28"/>
  <c r="E22"/>
  <c r="E23"/>
  <c r="E24"/>
  <c r="E25"/>
  <c r="E26"/>
  <c r="E27"/>
  <c r="E28"/>
  <c r="Q5"/>
  <c r="Q6"/>
  <c r="Q7"/>
  <c r="Q8"/>
  <c r="Q9"/>
  <c r="Q10"/>
  <c r="Q11"/>
  <c r="M5"/>
  <c r="M6"/>
  <c r="M7"/>
  <c r="M8"/>
  <c r="M9"/>
  <c r="M10"/>
  <c r="M11"/>
  <c r="I5"/>
  <c r="I6"/>
  <c r="I7"/>
  <c r="I8"/>
  <c r="I9"/>
  <c r="I10"/>
  <c r="I11"/>
  <c r="E6"/>
  <c r="E7"/>
  <c r="E8"/>
  <c r="E9"/>
  <c r="E10"/>
  <c r="E11"/>
  <c r="E5"/>
  <c r="E15" s="1"/>
  <c r="P14"/>
  <c r="O14"/>
  <c r="N14"/>
  <c r="L14"/>
  <c r="K14"/>
  <c r="J14"/>
  <c r="H14"/>
  <c r="G14"/>
  <c r="F14"/>
  <c r="D14"/>
  <c r="C14"/>
  <c r="B14"/>
  <c r="C31"/>
  <c r="C37" s="1"/>
  <c r="D31"/>
  <c r="D37" s="1"/>
  <c r="F31"/>
  <c r="F37" s="1"/>
  <c r="G31"/>
  <c r="G37" s="1"/>
  <c r="H31"/>
  <c r="H37" s="1"/>
  <c r="J31"/>
  <c r="J37" s="1"/>
  <c r="K31"/>
  <c r="K37" s="1"/>
  <c r="L31"/>
  <c r="L37" s="1"/>
  <c r="N31"/>
  <c r="N37" s="1"/>
  <c r="O31"/>
  <c r="O37" s="1"/>
  <c r="P31"/>
  <c r="P37" s="1"/>
  <c r="B31"/>
  <c r="B37" s="1"/>
  <c r="B30"/>
  <c r="C30"/>
  <c r="D30"/>
  <c r="F30"/>
  <c r="G30"/>
  <c r="H30"/>
  <c r="J30"/>
  <c r="K30"/>
  <c r="L30"/>
  <c r="N30"/>
  <c r="O30"/>
  <c r="P30"/>
  <c r="S22"/>
  <c r="S23"/>
  <c r="S24"/>
  <c r="S25"/>
  <c r="S26"/>
  <c r="S27"/>
  <c r="S28"/>
  <c r="C13"/>
  <c r="C36" s="1"/>
  <c r="D13"/>
  <c r="D36" s="1"/>
  <c r="F13"/>
  <c r="F36" s="1"/>
  <c r="G13"/>
  <c r="G36" s="1"/>
  <c r="H13"/>
  <c r="H36" s="1"/>
  <c r="J13"/>
  <c r="J36" s="1"/>
  <c r="K13"/>
  <c r="K36" s="1"/>
  <c r="L13"/>
  <c r="L36" s="1"/>
  <c r="N13"/>
  <c r="N36" s="1"/>
  <c r="O13"/>
  <c r="O36" s="1"/>
  <c r="P13"/>
  <c r="P36" s="1"/>
  <c r="B13"/>
  <c r="S15"/>
  <c r="I16" l="1"/>
  <c r="Q16"/>
  <c r="I33"/>
  <c r="Q33"/>
  <c r="M15"/>
  <c r="E32"/>
  <c r="E38" s="1"/>
  <c r="M32"/>
  <c r="M38" s="1"/>
  <c r="D38"/>
  <c r="G38"/>
  <c r="J38"/>
  <c r="L38"/>
  <c r="O38"/>
  <c r="M33"/>
  <c r="E33"/>
  <c r="E16"/>
  <c r="E39" s="1"/>
  <c r="G39"/>
  <c r="K39"/>
  <c r="M16"/>
  <c r="O39"/>
  <c r="S32"/>
  <c r="I15"/>
  <c r="Q15"/>
  <c r="I32"/>
  <c r="I38" s="1"/>
  <c r="Q32"/>
  <c r="Q38" s="1"/>
  <c r="C38"/>
  <c r="F38"/>
  <c r="H38"/>
  <c r="K38"/>
  <c r="N38"/>
  <c r="P38"/>
  <c r="D39"/>
  <c r="F39"/>
  <c r="H39"/>
  <c r="J39"/>
  <c r="L39"/>
  <c r="N39"/>
  <c r="P39"/>
  <c r="S16"/>
  <c r="S33"/>
  <c r="E13"/>
  <c r="M13"/>
  <c r="Q30"/>
  <c r="I30"/>
  <c r="B36"/>
  <c r="I13"/>
  <c r="Q13"/>
  <c r="Q36" s="1"/>
  <c r="M30"/>
  <c r="E30"/>
  <c r="S30"/>
  <c r="T28" s="1"/>
  <c r="S14"/>
  <c r="S31"/>
  <c r="T26"/>
  <c r="T22"/>
  <c r="T27"/>
  <c r="T25"/>
  <c r="S37" l="1"/>
  <c r="T37" s="1"/>
  <c r="I39"/>
  <c r="Q39"/>
  <c r="T30"/>
  <c r="T24"/>
  <c r="E36"/>
  <c r="S39"/>
  <c r="T39" s="1"/>
  <c r="M39"/>
  <c r="S38"/>
  <c r="T38" s="1"/>
  <c r="T23"/>
  <c r="T36"/>
  <c r="S13"/>
  <c r="S36" s="1"/>
  <c r="I36"/>
  <c r="M36"/>
  <c r="T11"/>
  <c r="T8"/>
  <c r="T13"/>
  <c r="T6"/>
  <c r="T5"/>
  <c r="T9"/>
  <c r="T10"/>
  <c r="T7"/>
  <c r="T32"/>
  <c r="T31"/>
  <c r="T14"/>
  <c r="T16" l="1"/>
  <c r="T33"/>
  <c r="T15"/>
</calcChain>
</file>

<file path=xl/sharedStrings.xml><?xml version="1.0" encoding="utf-8"?>
<sst xmlns="http://schemas.openxmlformats.org/spreadsheetml/2006/main" count="65" uniqueCount="42">
  <si>
    <t>Televizor</t>
  </si>
  <si>
    <t>DvD player</t>
  </si>
  <si>
    <t>Smartfon</t>
  </si>
  <si>
    <t>Telefon</t>
  </si>
  <si>
    <t>Monitor</t>
  </si>
  <si>
    <t>Noutbuk</t>
  </si>
  <si>
    <t>Planshet</t>
  </si>
  <si>
    <t>Mahsulotlar</t>
  </si>
  <si>
    <t>Xizmatlar</t>
  </si>
  <si>
    <t>Yuvish</t>
  </si>
  <si>
    <t>Artish</t>
  </si>
  <si>
    <t>Tozalash</t>
  </si>
  <si>
    <t>Kuzatish</t>
  </si>
  <si>
    <t>Qo'riqlash</t>
  </si>
  <si>
    <t>Sotish</t>
  </si>
  <si>
    <t>Tashish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</si>
  <si>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</si>
  <si>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</si>
  <si>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</si>
  <si>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</si>
  <si>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</si>
  <si>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</si>
  <si>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</si>
  <si>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</si>
  <si>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</si>
  <si>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</si>
  <si>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</si>
  <si>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</si>
  <si>
    <t>Jami</t>
  </si>
  <si>
    <t>O'rtacha</t>
  </si>
  <si>
    <t>Foizdagi ulushi</t>
  </si>
  <si>
    <t>KV-4</t>
  </si>
  <si>
    <t>KV-3</t>
  </si>
  <si>
    <t>KV-2</t>
  </si>
  <si>
    <t>KV-1</t>
  </si>
  <si>
    <t>Maksimum</t>
  </si>
  <si>
    <t>Umumiy o'rtacha</t>
  </si>
  <si>
    <t>Umumiy jami</t>
  </si>
  <si>
    <t>Umumiy maksimum</t>
  </si>
  <si>
    <t>Umumiy minimum</t>
  </si>
  <si>
    <t>Minimum</t>
  </si>
  <si>
    <t>Umumiy ko'rsatkichlar</t>
  </si>
</sst>
</file>

<file path=xl/styles.xml><?xml version="1.0" encoding="utf-8"?>
<styleSheet xmlns="http://schemas.openxmlformats.org/spreadsheetml/2006/main">
  <numFmts count="1">
    <numFmt numFmtId="164" formatCode="#,##0\ [$so'm-443]"/>
  </numFmts>
  <fonts count="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5"/>
      <color theme="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lightDown">
        <bgColor theme="8" tint="0.59996337778862885"/>
      </patternFill>
    </fill>
    <fill>
      <patternFill patternType="solid">
        <fgColor theme="3" tint="0.39997558519241921"/>
        <bgColor indexed="64"/>
      </patternFill>
    </fill>
    <fill>
      <patternFill patternType="mediumGray">
        <bgColor theme="0" tint="-4.9989318521683403E-2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E1ECFF"/>
        <bgColor indexed="64"/>
      </patternFill>
    </fill>
    <fill>
      <patternFill patternType="lightDown"/>
    </fill>
    <fill>
      <patternFill patternType="solid">
        <fgColor rgb="FFFF6D6D"/>
        <bgColor indexed="64"/>
      </patternFill>
    </fill>
    <fill>
      <patternFill patternType="solid">
        <fgColor theme="4" tint="-9.9978637043366805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/>
      <right/>
      <top style="thin">
        <color rgb="FFFF6D6D"/>
      </top>
      <bottom style="double">
        <color rgb="FFFF6D6D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1" fillId="0" borderId="3">
      <alignment vertical="center"/>
    </xf>
    <xf numFmtId="0" fontId="1" fillId="2" borderId="3">
      <alignment vertical="center"/>
    </xf>
    <xf numFmtId="164" fontId="1" fillId="0" borderId="0" applyFont="0" applyFill="0" applyBorder="0" applyAlignment="0" applyProtection="0">
      <alignment horizontal="center" vertical="center"/>
    </xf>
    <xf numFmtId="0" fontId="2" fillId="4" borderId="1" applyNumberFormat="0" applyFont="0" applyBorder="0" applyAlignment="0" applyProtection="0">
      <alignment vertical="center"/>
    </xf>
    <xf numFmtId="0" fontId="4" fillId="0" borderId="2" applyNumberFormat="0" applyFont="0" applyBorder="0" applyAlignment="0" applyProtection="0">
      <alignment vertical="center" wrapText="1"/>
    </xf>
    <xf numFmtId="0" fontId="4" fillId="8" borderId="2" applyNumberFormat="0" applyFont="0" applyBorder="0" applyAlignment="0" applyProtection="0">
      <alignment vertical="center" wrapText="1"/>
    </xf>
    <xf numFmtId="0" fontId="4" fillId="0" borderId="6" applyNumberFormat="0" applyFont="0" applyFill="0" applyAlignment="0" applyProtection="0">
      <alignment vertical="center" wrapText="1"/>
    </xf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2" xfId="3" applyAlignment="1">
      <alignment vertical="center"/>
    </xf>
    <xf numFmtId="0" fontId="2" fillId="0" borderId="1" xfId="2" applyAlignment="1">
      <alignment vertical="center"/>
    </xf>
    <xf numFmtId="0" fontId="2" fillId="0" borderId="1" xfId="2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4" fillId="0" borderId="2" xfId="1" applyFont="1" applyBorder="1" applyAlignment="1">
      <alignment horizontal="center" vertical="center"/>
    </xf>
    <xf numFmtId="164" fontId="0" fillId="0" borderId="0" xfId="6" applyFont="1" applyAlignment="1">
      <alignment horizontal="center" vertical="center"/>
    </xf>
    <xf numFmtId="164" fontId="4" fillId="0" borderId="2" xfId="6" applyFont="1" applyBorder="1" applyAlignment="1">
      <alignment horizontal="center" vertical="center"/>
    </xf>
    <xf numFmtId="164" fontId="2" fillId="0" borderId="1" xfId="2" applyNumberFormat="1" applyAlignment="1">
      <alignment horizontal="center" vertical="center"/>
    </xf>
    <xf numFmtId="9" fontId="2" fillId="0" borderId="1" xfId="2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1" xfId="2" applyFont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3" fillId="3" borderId="1" xfId="2" applyFont="1" applyFill="1" applyAlignment="1">
      <alignment horizontal="center" vertical="center"/>
    </xf>
    <xf numFmtId="0" fontId="2" fillId="0" borderId="1" xfId="2" applyFont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7" borderId="2" xfId="6" applyFont="1" applyFill="1" applyBorder="1" applyAlignment="1">
      <alignment horizontal="center" vertical="center"/>
    </xf>
    <xf numFmtId="0" fontId="4" fillId="0" borderId="6" xfId="10" applyAlignment="1">
      <alignment vertical="center" wrapText="1"/>
    </xf>
    <xf numFmtId="0" fontId="0" fillId="0" borderId="6" xfId="10" applyFont="1" applyAlignment="1">
      <alignment vertical="center"/>
    </xf>
    <xf numFmtId="164" fontId="4" fillId="0" borderId="6" xfId="10" applyNumberFormat="1" applyFont="1" applyAlignment="1">
      <alignment horizontal="center" vertical="center"/>
    </xf>
    <xf numFmtId="9" fontId="4" fillId="0" borderId="6" xfId="10" applyNumberFormat="1" applyFont="1" applyAlignment="1">
      <alignment horizontal="center"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0" fillId="9" borderId="0" xfId="6" applyFont="1" applyFill="1" applyAlignment="1">
      <alignment horizontal="center" vertical="center"/>
    </xf>
    <xf numFmtId="9" fontId="0" fillId="9" borderId="0" xfId="1" applyFont="1" applyFill="1" applyAlignment="1">
      <alignment horizontal="center" vertical="center"/>
    </xf>
    <xf numFmtId="164" fontId="4" fillId="0" borderId="0" xfId="6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0" fontId="4" fillId="10" borderId="4" xfId="3" applyFill="1" applyBorder="1" applyAlignment="1">
      <alignment vertical="center"/>
    </xf>
    <xf numFmtId="0" fontId="4" fillId="5" borderId="4" xfId="3" applyFill="1" applyBorder="1" applyAlignment="1">
      <alignment vertical="center"/>
    </xf>
    <xf numFmtId="0" fontId="7" fillId="9" borderId="1" xfId="2" applyFont="1" applyFill="1" applyAlignment="1">
      <alignment horizontal="center" vertical="center"/>
    </xf>
  </cellXfs>
  <cellStyles count="11">
    <cellStyle name="Заголовок 1" xfId="2" builtinId="16"/>
    <cellStyle name="Итог" xfId="3" builtinId="25"/>
    <cellStyle name="Обычный" xfId="0" builtinId="0"/>
    <cellStyle name="Процентный" xfId="1" builtinId="5"/>
    <cellStyle name="Стиль 1" xfId="4"/>
    <cellStyle name="Стиль 2" xfId="5"/>
    <cellStyle name="Стиль 3" xfId="6"/>
    <cellStyle name="Стиль 4" xfId="7"/>
    <cellStyle name="Стиль 5" xfId="8"/>
    <cellStyle name="Стиль 6" xfId="9"/>
    <cellStyle name="Стиль 7" xfId="10"/>
  </cellStyles>
  <dxfs count="0"/>
  <tableStyles count="0" defaultTableStyle="TableStyleMedium9" defaultPivotStyle="PivotStyleLight16"/>
  <colors>
    <mruColors>
      <color rgb="FFFF6D6D"/>
      <color rgb="FFE1ECFF"/>
      <color rgb="FFF7FA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Литейная">
      <a:dk1>
        <a:sysClr val="windowText" lastClr="000000"/>
      </a:dk1>
      <a:lt1>
        <a:sysClr val="window" lastClr="FFFFFF"/>
      </a:lt1>
      <a:dk2>
        <a:srgbClr val="676A55"/>
      </a:dk2>
      <a:lt2>
        <a:srgbClr val="EAEBDE"/>
      </a:lt2>
      <a:accent1>
        <a:srgbClr val="72A376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DB5353"/>
      </a:hlink>
      <a:folHlink>
        <a:srgbClr val="903638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2"/>
  <sheetViews>
    <sheetView showGridLines="0" tabSelected="1" zoomScaleSheetLayoutView="30" workbookViewId="0">
      <selection activeCell="A2" sqref="A2"/>
    </sheetView>
  </sheetViews>
  <sheetFormatPr defaultRowHeight="15"/>
  <cols>
    <col min="1" max="1" width="13.42578125" style="1" customWidth="1"/>
    <col min="2" max="4" width="11.85546875" style="2" customWidth="1"/>
    <col min="5" max="5" width="11.85546875" style="18" customWidth="1"/>
    <col min="6" max="8" width="11.85546875" style="2" customWidth="1"/>
    <col min="9" max="9" width="11.85546875" style="18" customWidth="1"/>
    <col min="10" max="12" width="11.85546875" style="2" customWidth="1"/>
    <col min="13" max="13" width="11.85546875" style="18" customWidth="1"/>
    <col min="14" max="16" width="11.85546875" style="2" customWidth="1"/>
    <col min="17" max="17" width="11.85546875" style="18" customWidth="1"/>
    <col min="18" max="18" width="1.85546875" style="1" customWidth="1"/>
    <col min="19" max="19" width="12.7109375" style="8" customWidth="1"/>
    <col min="20" max="20" width="15.85546875" style="6" customWidth="1"/>
    <col min="21" max="16384" width="9.140625" style="1"/>
  </cols>
  <sheetData>
    <row r="1" spans="1:20">
      <c r="A1" s="24"/>
      <c r="B1" s="25"/>
      <c r="C1" s="25"/>
      <c r="D1" s="25"/>
      <c r="E1" s="26"/>
      <c r="F1" s="25"/>
      <c r="G1" s="25"/>
      <c r="H1" s="25"/>
      <c r="I1" s="26"/>
      <c r="J1" s="25"/>
      <c r="K1" s="25"/>
      <c r="L1" s="25"/>
      <c r="M1" s="26"/>
      <c r="N1" s="25"/>
      <c r="O1" s="25"/>
      <c r="P1" s="25"/>
      <c r="Q1" s="26"/>
      <c r="R1" s="24"/>
      <c r="S1" s="27"/>
      <c r="T1" s="28"/>
    </row>
    <row r="2" spans="1:20">
      <c r="A2" s="18"/>
      <c r="B2" s="18"/>
      <c r="C2" s="18"/>
      <c r="D2" s="18"/>
      <c r="F2" s="18"/>
      <c r="G2" s="18"/>
      <c r="H2" s="18"/>
      <c r="J2" s="18"/>
      <c r="K2" s="18"/>
      <c r="L2" s="18"/>
      <c r="N2" s="18"/>
      <c r="O2" s="18"/>
      <c r="P2" s="18"/>
      <c r="R2" s="18"/>
      <c r="S2" s="18"/>
      <c r="T2" s="18"/>
    </row>
    <row r="3" spans="1:20" ht="20.25" thickBot="1">
      <c r="A3" s="4" t="s">
        <v>7</v>
      </c>
      <c r="B3" s="5"/>
      <c r="C3" s="5"/>
      <c r="D3" s="5"/>
      <c r="E3" s="16"/>
      <c r="F3" s="5"/>
      <c r="G3" s="5"/>
      <c r="H3" s="5"/>
      <c r="I3" s="16"/>
      <c r="J3" s="5"/>
      <c r="K3" s="5"/>
      <c r="L3" s="5"/>
      <c r="M3" s="16"/>
      <c r="N3" s="5"/>
      <c r="O3" s="5"/>
      <c r="P3" s="5"/>
      <c r="Q3" s="16"/>
      <c r="S3" s="10"/>
      <c r="T3" s="11"/>
    </row>
    <row r="4" spans="1:20" ht="16.5" thickTop="1" thickBot="1">
      <c r="A4" s="31"/>
      <c r="B4" s="13" t="s">
        <v>16</v>
      </c>
      <c r="C4" s="13" t="s">
        <v>17</v>
      </c>
      <c r="D4" s="13" t="s">
        <v>18</v>
      </c>
      <c r="E4" s="15" t="s">
        <v>34</v>
      </c>
      <c r="F4" s="13" t="s">
        <v>19</v>
      </c>
      <c r="G4" s="13" t="s">
        <v>20</v>
      </c>
      <c r="H4" s="13" t="s">
        <v>21</v>
      </c>
      <c r="I4" s="15" t="s">
        <v>33</v>
      </c>
      <c r="J4" s="13" t="s">
        <v>22</v>
      </c>
      <c r="K4" s="13" t="s">
        <v>23</v>
      </c>
      <c r="L4" s="13" t="s">
        <v>24</v>
      </c>
      <c r="M4" s="15" t="s">
        <v>32</v>
      </c>
      <c r="N4" s="13" t="s">
        <v>25</v>
      </c>
      <c r="O4" s="13" t="s">
        <v>26</v>
      </c>
      <c r="P4" s="13" t="s">
        <v>27</v>
      </c>
      <c r="Q4" s="15" t="s">
        <v>31</v>
      </c>
      <c r="S4" s="9" t="s">
        <v>28</v>
      </c>
      <c r="T4" s="7" t="s">
        <v>30</v>
      </c>
    </row>
    <row r="5" spans="1:20" ht="18" customHeight="1" thickTop="1" thickBot="1">
      <c r="A5" s="14" t="s">
        <v>0</v>
      </c>
      <c r="B5" s="12">
        <v>213</v>
      </c>
      <c r="C5" s="12">
        <v>987</v>
      </c>
      <c r="D5" s="12">
        <v>897</v>
      </c>
      <c r="E5" s="17">
        <f>SUM(B5:D5)</f>
        <v>2097</v>
      </c>
      <c r="F5" s="12">
        <v>213</v>
      </c>
      <c r="G5" s="12">
        <v>987</v>
      </c>
      <c r="H5" s="12">
        <v>897</v>
      </c>
      <c r="I5" s="17">
        <f t="shared" ref="I5:I11" si="0">SUM(F5:H5)</f>
        <v>2097</v>
      </c>
      <c r="J5" s="12">
        <v>213</v>
      </c>
      <c r="K5" s="12">
        <v>987</v>
      </c>
      <c r="L5" s="12">
        <v>897</v>
      </c>
      <c r="M5" s="17">
        <f t="shared" ref="M5:M11" si="1">SUM(J5:L5)</f>
        <v>2097</v>
      </c>
      <c r="N5" s="12">
        <v>213</v>
      </c>
      <c r="O5" s="12">
        <v>987</v>
      </c>
      <c r="P5" s="12">
        <v>897</v>
      </c>
      <c r="Q5" s="17">
        <f t="shared" ref="Q5:Q11" si="2">SUM(N5:P5)</f>
        <v>2097</v>
      </c>
      <c r="S5" s="9">
        <f>SUM(Q5,M5,I5,E5)</f>
        <v>8388</v>
      </c>
      <c r="T5" s="7">
        <f t="shared" ref="T5:T11" si="3">S5/$S$13</f>
        <v>9.833067616993342E-2</v>
      </c>
    </row>
    <row r="6" spans="1:20" ht="18" customHeight="1" thickTop="1" thickBot="1">
      <c r="A6" s="14" t="s">
        <v>1</v>
      </c>
      <c r="B6" s="12">
        <v>231</v>
      </c>
      <c r="C6" s="12">
        <v>546</v>
      </c>
      <c r="D6" s="12">
        <v>654</v>
      </c>
      <c r="E6" s="17">
        <f t="shared" ref="E6:E11" si="4">SUM(B6:D6)</f>
        <v>1431</v>
      </c>
      <c r="F6" s="12">
        <v>231</v>
      </c>
      <c r="G6" s="12">
        <v>546</v>
      </c>
      <c r="H6" s="12">
        <v>654</v>
      </c>
      <c r="I6" s="17">
        <f t="shared" si="0"/>
        <v>1431</v>
      </c>
      <c r="J6" s="12">
        <v>231</v>
      </c>
      <c r="K6" s="12">
        <v>546</v>
      </c>
      <c r="L6" s="12">
        <v>654</v>
      </c>
      <c r="M6" s="17">
        <f t="shared" si="1"/>
        <v>1431</v>
      </c>
      <c r="N6" s="12">
        <v>231</v>
      </c>
      <c r="O6" s="12">
        <v>546</v>
      </c>
      <c r="P6" s="12">
        <v>654</v>
      </c>
      <c r="Q6" s="17">
        <f t="shared" si="2"/>
        <v>1431</v>
      </c>
      <c r="S6" s="9">
        <f t="shared" ref="S6:S11" si="5">SUM(B6:R6)</f>
        <v>11448</v>
      </c>
      <c r="T6" s="7">
        <f t="shared" si="3"/>
        <v>0.13420238206883617</v>
      </c>
    </row>
    <row r="7" spans="1:20" ht="18" customHeight="1" thickTop="1" thickBot="1">
      <c r="A7" s="14" t="s">
        <v>2</v>
      </c>
      <c r="B7" s="12">
        <v>231</v>
      </c>
      <c r="C7" s="12">
        <v>564</v>
      </c>
      <c r="D7" s="12">
        <v>546</v>
      </c>
      <c r="E7" s="17">
        <f t="shared" si="4"/>
        <v>1341</v>
      </c>
      <c r="F7" s="12">
        <v>231</v>
      </c>
      <c r="G7" s="12">
        <v>564</v>
      </c>
      <c r="H7" s="12">
        <v>546</v>
      </c>
      <c r="I7" s="17">
        <f t="shared" si="0"/>
        <v>1341</v>
      </c>
      <c r="J7" s="12">
        <v>231</v>
      </c>
      <c r="K7" s="12">
        <v>564</v>
      </c>
      <c r="L7" s="12">
        <v>546</v>
      </c>
      <c r="M7" s="17">
        <f t="shared" si="1"/>
        <v>1341</v>
      </c>
      <c r="N7" s="12">
        <v>231</v>
      </c>
      <c r="O7" s="12">
        <v>564</v>
      </c>
      <c r="P7" s="12">
        <v>546</v>
      </c>
      <c r="Q7" s="17">
        <f t="shared" si="2"/>
        <v>1341</v>
      </c>
      <c r="S7" s="9">
        <f t="shared" si="5"/>
        <v>10728</v>
      </c>
      <c r="T7" s="7">
        <f t="shared" si="3"/>
        <v>0.12576198068085906</v>
      </c>
    </row>
    <row r="8" spans="1:20" ht="18" customHeight="1" thickTop="1" thickBot="1">
      <c r="A8" s="14" t="s">
        <v>3</v>
      </c>
      <c r="B8" s="12">
        <v>123</v>
      </c>
      <c r="C8" s="12">
        <v>136</v>
      </c>
      <c r="D8" s="12">
        <v>564</v>
      </c>
      <c r="E8" s="17">
        <f t="shared" si="4"/>
        <v>823</v>
      </c>
      <c r="F8" s="12">
        <v>123</v>
      </c>
      <c r="G8" s="12">
        <v>136</v>
      </c>
      <c r="H8" s="12">
        <v>564</v>
      </c>
      <c r="I8" s="17">
        <f t="shared" si="0"/>
        <v>823</v>
      </c>
      <c r="J8" s="12">
        <v>123</v>
      </c>
      <c r="K8" s="12">
        <v>136</v>
      </c>
      <c r="L8" s="12">
        <v>564</v>
      </c>
      <c r="M8" s="17">
        <f t="shared" si="1"/>
        <v>823</v>
      </c>
      <c r="N8" s="12">
        <v>123</v>
      </c>
      <c r="O8" s="12">
        <v>136</v>
      </c>
      <c r="P8" s="12">
        <v>564</v>
      </c>
      <c r="Q8" s="17">
        <f t="shared" si="2"/>
        <v>823</v>
      </c>
      <c r="S8" s="9">
        <f t="shared" si="5"/>
        <v>6584</v>
      </c>
      <c r="T8" s="7">
        <f t="shared" si="3"/>
        <v>7.7182781581168522E-2</v>
      </c>
    </row>
    <row r="9" spans="1:20" ht="18" customHeight="1" thickTop="1" thickBot="1">
      <c r="A9" s="14" t="s">
        <v>4</v>
      </c>
      <c r="B9" s="12">
        <v>546</v>
      </c>
      <c r="C9" s="12">
        <v>123</v>
      </c>
      <c r="D9" s="12">
        <v>213</v>
      </c>
      <c r="E9" s="17">
        <f t="shared" si="4"/>
        <v>882</v>
      </c>
      <c r="F9" s="12">
        <v>546</v>
      </c>
      <c r="G9" s="12">
        <v>123</v>
      </c>
      <c r="H9" s="12">
        <v>213</v>
      </c>
      <c r="I9" s="17">
        <f t="shared" si="0"/>
        <v>882</v>
      </c>
      <c r="J9" s="12">
        <v>546</v>
      </c>
      <c r="K9" s="12">
        <v>123</v>
      </c>
      <c r="L9" s="12">
        <v>213</v>
      </c>
      <c r="M9" s="17">
        <f t="shared" si="1"/>
        <v>882</v>
      </c>
      <c r="N9" s="12">
        <v>546</v>
      </c>
      <c r="O9" s="12">
        <v>123</v>
      </c>
      <c r="P9" s="12">
        <v>213</v>
      </c>
      <c r="Q9" s="17">
        <f t="shared" si="2"/>
        <v>882</v>
      </c>
      <c r="S9" s="9">
        <f t="shared" si="5"/>
        <v>7056</v>
      </c>
      <c r="T9" s="7">
        <f t="shared" si="3"/>
        <v>8.2715933602175745E-2</v>
      </c>
    </row>
    <row r="10" spans="1:20" ht="18" customHeight="1" thickTop="1" thickBot="1">
      <c r="A10" s="14" t="s">
        <v>5</v>
      </c>
      <c r="B10" s="12">
        <v>465</v>
      </c>
      <c r="C10" s="12">
        <v>897</v>
      </c>
      <c r="D10" s="12">
        <v>231</v>
      </c>
      <c r="E10" s="17">
        <f t="shared" si="4"/>
        <v>1593</v>
      </c>
      <c r="F10" s="12">
        <v>465</v>
      </c>
      <c r="G10" s="12">
        <v>897</v>
      </c>
      <c r="H10" s="12">
        <v>231</v>
      </c>
      <c r="I10" s="17">
        <f t="shared" si="0"/>
        <v>1593</v>
      </c>
      <c r="J10" s="12">
        <v>465</v>
      </c>
      <c r="K10" s="12">
        <v>897</v>
      </c>
      <c r="L10" s="12">
        <v>231</v>
      </c>
      <c r="M10" s="17">
        <f t="shared" si="1"/>
        <v>1593</v>
      </c>
      <c r="N10" s="12">
        <v>465</v>
      </c>
      <c r="O10" s="12">
        <v>897</v>
      </c>
      <c r="P10" s="12">
        <v>231</v>
      </c>
      <c r="Q10" s="17">
        <f t="shared" si="2"/>
        <v>1593</v>
      </c>
      <c r="S10" s="9">
        <f t="shared" si="5"/>
        <v>12744</v>
      </c>
      <c r="T10" s="7">
        <f t="shared" si="3"/>
        <v>0.14939510456719499</v>
      </c>
    </row>
    <row r="11" spans="1:20" ht="18" customHeight="1" thickTop="1" thickBot="1">
      <c r="A11" s="14" t="s">
        <v>6</v>
      </c>
      <c r="B11" s="12">
        <v>987</v>
      </c>
      <c r="C11" s="12">
        <v>945</v>
      </c>
      <c r="D11" s="12">
        <v>564</v>
      </c>
      <c r="E11" s="17">
        <f t="shared" si="4"/>
        <v>2496</v>
      </c>
      <c r="F11" s="12">
        <v>987</v>
      </c>
      <c r="G11" s="12">
        <v>945</v>
      </c>
      <c r="H11" s="12">
        <v>564</v>
      </c>
      <c r="I11" s="17">
        <f t="shared" si="0"/>
        <v>2496</v>
      </c>
      <c r="J11" s="12">
        <v>987</v>
      </c>
      <c r="K11" s="12">
        <v>945</v>
      </c>
      <c r="L11" s="12">
        <v>564</v>
      </c>
      <c r="M11" s="17">
        <f t="shared" si="1"/>
        <v>2496</v>
      </c>
      <c r="N11" s="12">
        <v>987</v>
      </c>
      <c r="O11" s="12">
        <v>945</v>
      </c>
      <c r="P11" s="12">
        <v>564</v>
      </c>
      <c r="Q11" s="17">
        <f t="shared" si="2"/>
        <v>2496</v>
      </c>
      <c r="S11" s="9">
        <f t="shared" si="5"/>
        <v>19968</v>
      </c>
      <c r="T11" s="7">
        <f t="shared" si="3"/>
        <v>0.23408046515989872</v>
      </c>
    </row>
    <row r="12" spans="1:20" ht="8.25" customHeight="1" thickTop="1" thickBo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T12" s="7"/>
    </row>
    <row r="13" spans="1:20" ht="21" customHeight="1" thickTop="1" thickBot="1">
      <c r="A13" s="3" t="s">
        <v>28</v>
      </c>
      <c r="B13" s="9">
        <f t="shared" ref="B13:Q13" si="6">SUM(B5:B12)</f>
        <v>2796</v>
      </c>
      <c r="C13" s="9">
        <f t="shared" si="6"/>
        <v>4198</v>
      </c>
      <c r="D13" s="9">
        <f t="shared" si="6"/>
        <v>3669</v>
      </c>
      <c r="E13" s="9">
        <f t="shared" si="6"/>
        <v>10663</v>
      </c>
      <c r="F13" s="9">
        <f t="shared" si="6"/>
        <v>2796</v>
      </c>
      <c r="G13" s="9">
        <f t="shared" si="6"/>
        <v>4198</v>
      </c>
      <c r="H13" s="9">
        <f t="shared" si="6"/>
        <v>3669</v>
      </c>
      <c r="I13" s="9">
        <f t="shared" si="6"/>
        <v>10663</v>
      </c>
      <c r="J13" s="9">
        <f t="shared" si="6"/>
        <v>2796</v>
      </c>
      <c r="K13" s="9">
        <f t="shared" si="6"/>
        <v>4198</v>
      </c>
      <c r="L13" s="9">
        <f t="shared" si="6"/>
        <v>3669</v>
      </c>
      <c r="M13" s="9">
        <f t="shared" si="6"/>
        <v>10663</v>
      </c>
      <c r="N13" s="9">
        <f t="shared" si="6"/>
        <v>2796</v>
      </c>
      <c r="O13" s="9">
        <f t="shared" si="6"/>
        <v>4198</v>
      </c>
      <c r="P13" s="9">
        <f t="shared" si="6"/>
        <v>3669</v>
      </c>
      <c r="Q13" s="9">
        <f t="shared" si="6"/>
        <v>10663</v>
      </c>
      <c r="S13" s="9">
        <f>SUM(B13:R13)</f>
        <v>85304</v>
      </c>
      <c r="T13" s="7">
        <f>S13/$S$13</f>
        <v>1</v>
      </c>
    </row>
    <row r="14" spans="1:20" ht="21" customHeight="1" thickTop="1" thickBot="1">
      <c r="A14" s="3" t="s">
        <v>29</v>
      </c>
      <c r="B14" s="9">
        <f t="shared" ref="B14:S14" si="7">AVERAGE(B5:B11)</f>
        <v>399.42857142857144</v>
      </c>
      <c r="C14" s="9">
        <f t="shared" si="7"/>
        <v>599.71428571428567</v>
      </c>
      <c r="D14" s="9">
        <f t="shared" si="7"/>
        <v>524.14285714285711</v>
      </c>
      <c r="E14" s="19"/>
      <c r="F14" s="9">
        <f t="shared" si="7"/>
        <v>399.42857142857144</v>
      </c>
      <c r="G14" s="9">
        <f t="shared" si="7"/>
        <v>599.71428571428567</v>
      </c>
      <c r="H14" s="9">
        <f t="shared" si="7"/>
        <v>524.14285714285711</v>
      </c>
      <c r="I14" s="19"/>
      <c r="J14" s="9">
        <f t="shared" si="7"/>
        <v>399.42857142857144</v>
      </c>
      <c r="K14" s="9">
        <f t="shared" si="7"/>
        <v>599.71428571428567</v>
      </c>
      <c r="L14" s="9">
        <f t="shared" si="7"/>
        <v>524.14285714285711</v>
      </c>
      <c r="M14" s="19"/>
      <c r="N14" s="9">
        <f t="shared" si="7"/>
        <v>399.42857142857144</v>
      </c>
      <c r="O14" s="9">
        <f t="shared" si="7"/>
        <v>599.71428571428567</v>
      </c>
      <c r="P14" s="9">
        <f>AVERAGE(P5:P11)</f>
        <v>524.14285714285711</v>
      </c>
      <c r="Q14" s="19"/>
      <c r="S14" s="9">
        <f t="shared" si="7"/>
        <v>10988</v>
      </c>
      <c r="T14" s="7">
        <f>S14/$S$13</f>
        <v>0.12880990340429524</v>
      </c>
    </row>
    <row r="15" spans="1:20" ht="21" customHeight="1" thickTop="1" thickBot="1">
      <c r="A15" s="3" t="s">
        <v>35</v>
      </c>
      <c r="B15" s="9">
        <f>MAX(B5:B11)</f>
        <v>987</v>
      </c>
      <c r="C15" s="9">
        <f t="shared" ref="C15:T15" si="8">MAX(C5:C11)</f>
        <v>987</v>
      </c>
      <c r="D15" s="9">
        <f t="shared" si="8"/>
        <v>897</v>
      </c>
      <c r="E15" s="9">
        <f t="shared" si="8"/>
        <v>2496</v>
      </c>
      <c r="F15" s="9">
        <f t="shared" si="8"/>
        <v>987</v>
      </c>
      <c r="G15" s="9">
        <f t="shared" si="8"/>
        <v>987</v>
      </c>
      <c r="H15" s="9">
        <f t="shared" si="8"/>
        <v>897</v>
      </c>
      <c r="I15" s="9">
        <f t="shared" si="8"/>
        <v>2496</v>
      </c>
      <c r="J15" s="9">
        <f t="shared" si="8"/>
        <v>987</v>
      </c>
      <c r="K15" s="9">
        <f t="shared" si="8"/>
        <v>987</v>
      </c>
      <c r="L15" s="9">
        <f t="shared" si="8"/>
        <v>897</v>
      </c>
      <c r="M15" s="9">
        <f t="shared" si="8"/>
        <v>2496</v>
      </c>
      <c r="N15" s="9">
        <f t="shared" si="8"/>
        <v>987</v>
      </c>
      <c r="O15" s="9">
        <f t="shared" si="8"/>
        <v>987</v>
      </c>
      <c r="P15" s="9">
        <f t="shared" si="8"/>
        <v>897</v>
      </c>
      <c r="Q15" s="9">
        <f t="shared" si="8"/>
        <v>2496</v>
      </c>
      <c r="S15" s="9">
        <f t="shared" si="8"/>
        <v>19968</v>
      </c>
      <c r="T15" s="7">
        <f t="shared" si="8"/>
        <v>0.23408046515989872</v>
      </c>
    </row>
    <row r="16" spans="1:20" ht="21" customHeight="1" thickTop="1" thickBot="1">
      <c r="A16" s="3" t="s">
        <v>40</v>
      </c>
      <c r="B16" s="9">
        <f>MIN(B5:B11)</f>
        <v>123</v>
      </c>
      <c r="C16" s="9">
        <f>MIN(C5:C11)</f>
        <v>123</v>
      </c>
      <c r="D16" s="9">
        <f t="shared" ref="D16:T16" si="9">MIN(D5:D11)</f>
        <v>213</v>
      </c>
      <c r="E16" s="9">
        <f t="shared" si="9"/>
        <v>823</v>
      </c>
      <c r="F16" s="9">
        <f t="shared" si="9"/>
        <v>123</v>
      </c>
      <c r="G16" s="9">
        <f t="shared" si="9"/>
        <v>123</v>
      </c>
      <c r="H16" s="9">
        <f t="shared" si="9"/>
        <v>213</v>
      </c>
      <c r="I16" s="9">
        <f t="shared" si="9"/>
        <v>823</v>
      </c>
      <c r="J16" s="9">
        <f t="shared" si="9"/>
        <v>123</v>
      </c>
      <c r="K16" s="9">
        <f t="shared" si="9"/>
        <v>123</v>
      </c>
      <c r="L16" s="9">
        <f t="shared" si="9"/>
        <v>213</v>
      </c>
      <c r="M16" s="9">
        <f t="shared" si="9"/>
        <v>823</v>
      </c>
      <c r="N16" s="9">
        <f t="shared" si="9"/>
        <v>123</v>
      </c>
      <c r="O16" s="9">
        <f t="shared" si="9"/>
        <v>123</v>
      </c>
      <c r="P16" s="9">
        <f t="shared" si="9"/>
        <v>213</v>
      </c>
      <c r="Q16" s="9">
        <f t="shared" si="9"/>
        <v>823</v>
      </c>
      <c r="S16" s="9">
        <f t="shared" si="9"/>
        <v>6584</v>
      </c>
      <c r="T16" s="7">
        <f t="shared" si="9"/>
        <v>7.7182781581168522E-2</v>
      </c>
    </row>
    <row r="17" spans="1:20" ht="15.75" thickTop="1"/>
    <row r="18" spans="1:20" ht="15.75" customHeight="1">
      <c r="A18" s="24"/>
      <c r="B18" s="25"/>
      <c r="C18" s="25"/>
      <c r="D18" s="25"/>
      <c r="E18" s="26"/>
      <c r="F18" s="25"/>
      <c r="G18" s="25"/>
      <c r="H18" s="25"/>
      <c r="I18" s="26"/>
      <c r="J18" s="25"/>
      <c r="K18" s="25"/>
      <c r="L18" s="25"/>
      <c r="M18" s="26"/>
      <c r="N18" s="25"/>
      <c r="O18" s="25"/>
      <c r="P18" s="25"/>
      <c r="Q18" s="26"/>
      <c r="R18" s="24"/>
      <c r="S18" s="27"/>
      <c r="T18" s="28"/>
    </row>
    <row r="20" spans="1:20" ht="20.25" thickBot="1">
      <c r="A20" s="4" t="s">
        <v>8</v>
      </c>
      <c r="B20" s="5"/>
      <c r="C20" s="5"/>
      <c r="D20" s="5"/>
      <c r="E20" s="16"/>
      <c r="F20" s="5"/>
      <c r="G20" s="5"/>
      <c r="H20" s="5"/>
      <c r="I20" s="16"/>
      <c r="J20" s="5"/>
      <c r="K20" s="5"/>
      <c r="L20" s="5"/>
      <c r="M20" s="16"/>
      <c r="N20" s="5"/>
      <c r="O20" s="5"/>
      <c r="P20" s="5"/>
      <c r="Q20" s="16"/>
      <c r="S20" s="10"/>
      <c r="T20" s="11"/>
    </row>
    <row r="21" spans="1:20" ht="16.5" thickTop="1" thickBot="1">
      <c r="A21" s="32"/>
      <c r="B21" s="13" t="s">
        <v>16</v>
      </c>
      <c r="C21" s="13" t="s">
        <v>17</v>
      </c>
      <c r="D21" s="13" t="s">
        <v>18</v>
      </c>
      <c r="E21" s="15" t="s">
        <v>34</v>
      </c>
      <c r="F21" s="13" t="s">
        <v>19</v>
      </c>
      <c r="G21" s="13" t="s">
        <v>20</v>
      </c>
      <c r="H21" s="13" t="s">
        <v>21</v>
      </c>
      <c r="I21" s="15" t="s">
        <v>33</v>
      </c>
      <c r="J21" s="13" t="s">
        <v>22</v>
      </c>
      <c r="K21" s="13" t="s">
        <v>23</v>
      </c>
      <c r="L21" s="13" t="s">
        <v>24</v>
      </c>
      <c r="M21" s="15" t="s">
        <v>32</v>
      </c>
      <c r="N21" s="13" t="s">
        <v>25</v>
      </c>
      <c r="O21" s="13" t="s">
        <v>26</v>
      </c>
      <c r="P21" s="13" t="s">
        <v>27</v>
      </c>
      <c r="Q21" s="15" t="s">
        <v>31</v>
      </c>
      <c r="S21" s="9" t="s">
        <v>28</v>
      </c>
      <c r="T21" s="7" t="s">
        <v>30</v>
      </c>
    </row>
    <row r="22" spans="1:20" ht="18" customHeight="1" thickTop="1" thickBot="1">
      <c r="A22" s="14" t="s">
        <v>9</v>
      </c>
      <c r="B22" s="12">
        <v>111</v>
      </c>
      <c r="C22" s="12">
        <v>987</v>
      </c>
      <c r="D22" s="12">
        <v>897</v>
      </c>
      <c r="E22" s="17">
        <f t="shared" ref="E22:E28" si="10">SUM(B22:D22)</f>
        <v>1995</v>
      </c>
      <c r="F22" s="12">
        <v>213</v>
      </c>
      <c r="G22" s="12">
        <v>987</v>
      </c>
      <c r="H22" s="12">
        <v>897</v>
      </c>
      <c r="I22" s="17">
        <f t="shared" ref="I22:I28" si="11">SUM(F22:H22)</f>
        <v>2097</v>
      </c>
      <c r="J22" s="12">
        <v>213</v>
      </c>
      <c r="K22" s="12">
        <v>987</v>
      </c>
      <c r="L22" s="12">
        <v>897</v>
      </c>
      <c r="M22" s="17">
        <f t="shared" ref="M22:M28" si="12">SUM(J22:L22)</f>
        <v>2097</v>
      </c>
      <c r="N22" s="12">
        <v>777</v>
      </c>
      <c r="O22" s="12">
        <v>987</v>
      </c>
      <c r="P22" s="12">
        <v>897</v>
      </c>
      <c r="Q22" s="17">
        <f t="shared" ref="Q22:Q28" si="13">SUM(N22:P22)</f>
        <v>2661</v>
      </c>
      <c r="S22" s="9">
        <f t="shared" ref="S22:S28" si="14">SUM(B22:R22)</f>
        <v>17700</v>
      </c>
      <c r="T22" s="7">
        <f t="shared" ref="T22:T27" si="15">S22/$S$30</f>
        <v>0.20105411422599845</v>
      </c>
    </row>
    <row r="23" spans="1:20" ht="18" customHeight="1" thickTop="1" thickBot="1">
      <c r="A23" s="14" t="s">
        <v>10</v>
      </c>
      <c r="B23" s="12">
        <v>231</v>
      </c>
      <c r="C23" s="12">
        <v>546</v>
      </c>
      <c r="D23" s="12">
        <v>654</v>
      </c>
      <c r="E23" s="17">
        <f t="shared" si="10"/>
        <v>1431</v>
      </c>
      <c r="F23" s="12">
        <v>231</v>
      </c>
      <c r="G23" s="12">
        <v>546</v>
      </c>
      <c r="H23" s="12">
        <v>654</v>
      </c>
      <c r="I23" s="17">
        <f t="shared" si="11"/>
        <v>1431</v>
      </c>
      <c r="J23" s="12">
        <v>231</v>
      </c>
      <c r="K23" s="12">
        <v>546</v>
      </c>
      <c r="L23" s="12">
        <v>654</v>
      </c>
      <c r="M23" s="17">
        <f t="shared" si="12"/>
        <v>1431</v>
      </c>
      <c r="N23" s="12">
        <v>777</v>
      </c>
      <c r="O23" s="12">
        <v>546</v>
      </c>
      <c r="P23" s="12">
        <v>654</v>
      </c>
      <c r="Q23" s="17">
        <f t="shared" si="13"/>
        <v>1977</v>
      </c>
      <c r="S23" s="9">
        <f t="shared" si="14"/>
        <v>12540</v>
      </c>
      <c r="T23" s="7">
        <f t="shared" si="15"/>
        <v>0.14244172838384297</v>
      </c>
    </row>
    <row r="24" spans="1:20" ht="18" customHeight="1" thickTop="1" thickBot="1">
      <c r="A24" s="14" t="s">
        <v>11</v>
      </c>
      <c r="B24" s="12">
        <v>222</v>
      </c>
      <c r="C24" s="12">
        <v>564</v>
      </c>
      <c r="D24" s="12">
        <v>546</v>
      </c>
      <c r="E24" s="17">
        <f t="shared" si="10"/>
        <v>1332</v>
      </c>
      <c r="F24" s="12">
        <v>231</v>
      </c>
      <c r="G24" s="12">
        <v>564</v>
      </c>
      <c r="H24" s="12">
        <v>546</v>
      </c>
      <c r="I24" s="17">
        <f t="shared" si="11"/>
        <v>1341</v>
      </c>
      <c r="J24" s="12">
        <v>231</v>
      </c>
      <c r="K24" s="12">
        <v>564</v>
      </c>
      <c r="L24" s="12">
        <v>546</v>
      </c>
      <c r="M24" s="17">
        <f t="shared" si="12"/>
        <v>1341</v>
      </c>
      <c r="N24" s="12">
        <v>123</v>
      </c>
      <c r="O24" s="12">
        <v>564</v>
      </c>
      <c r="P24" s="12">
        <v>546</v>
      </c>
      <c r="Q24" s="17">
        <f t="shared" si="13"/>
        <v>1233</v>
      </c>
      <c r="S24" s="9">
        <f t="shared" si="14"/>
        <v>10494</v>
      </c>
      <c r="T24" s="7">
        <f t="shared" si="15"/>
        <v>0.11920123585805807</v>
      </c>
    </row>
    <row r="25" spans="1:20" ht="18" customHeight="1" thickTop="1" thickBot="1">
      <c r="A25" s="14" t="s">
        <v>12</v>
      </c>
      <c r="B25" s="12">
        <v>123</v>
      </c>
      <c r="C25" s="12">
        <v>111</v>
      </c>
      <c r="D25" s="12">
        <v>564</v>
      </c>
      <c r="E25" s="17">
        <f t="shared" si="10"/>
        <v>798</v>
      </c>
      <c r="F25" s="12">
        <v>123</v>
      </c>
      <c r="G25" s="12">
        <v>136</v>
      </c>
      <c r="H25" s="12">
        <v>564</v>
      </c>
      <c r="I25" s="17">
        <f t="shared" si="11"/>
        <v>823</v>
      </c>
      <c r="J25" s="12">
        <v>546</v>
      </c>
      <c r="K25" s="12">
        <v>136</v>
      </c>
      <c r="L25" s="12">
        <v>564</v>
      </c>
      <c r="M25" s="17">
        <f t="shared" si="12"/>
        <v>1246</v>
      </c>
      <c r="N25" s="12">
        <v>123</v>
      </c>
      <c r="O25" s="12">
        <v>546</v>
      </c>
      <c r="P25" s="12">
        <v>564</v>
      </c>
      <c r="Q25" s="17">
        <f t="shared" si="13"/>
        <v>1233</v>
      </c>
      <c r="S25" s="9">
        <f t="shared" si="14"/>
        <v>8200</v>
      </c>
      <c r="T25" s="7">
        <f t="shared" si="15"/>
        <v>9.314371393520833E-2</v>
      </c>
    </row>
    <row r="26" spans="1:20" ht="18" customHeight="1" thickTop="1" thickBot="1">
      <c r="A26" s="14" t="s">
        <v>13</v>
      </c>
      <c r="B26" s="12">
        <v>333</v>
      </c>
      <c r="C26" s="12">
        <v>123</v>
      </c>
      <c r="D26" s="12">
        <v>213</v>
      </c>
      <c r="E26" s="17">
        <f t="shared" si="10"/>
        <v>669</v>
      </c>
      <c r="F26" s="12">
        <v>777</v>
      </c>
      <c r="G26" s="12">
        <v>123</v>
      </c>
      <c r="H26" s="12">
        <v>213</v>
      </c>
      <c r="I26" s="17">
        <f t="shared" si="11"/>
        <v>1113</v>
      </c>
      <c r="J26" s="12">
        <v>123</v>
      </c>
      <c r="K26" s="12">
        <v>123</v>
      </c>
      <c r="L26" s="12">
        <v>213</v>
      </c>
      <c r="M26" s="17">
        <f t="shared" si="12"/>
        <v>459</v>
      </c>
      <c r="N26" s="12">
        <v>546</v>
      </c>
      <c r="O26" s="12">
        <v>123</v>
      </c>
      <c r="P26" s="12">
        <v>213</v>
      </c>
      <c r="Q26" s="17">
        <f t="shared" si="13"/>
        <v>882</v>
      </c>
      <c r="S26" s="9">
        <f t="shared" si="14"/>
        <v>6246</v>
      </c>
      <c r="T26" s="7">
        <f t="shared" si="15"/>
        <v>7.0948248443818432E-2</v>
      </c>
    </row>
    <row r="27" spans="1:20" ht="18" customHeight="1" thickTop="1" thickBot="1">
      <c r="A27" s="14" t="s">
        <v>14</v>
      </c>
      <c r="B27" s="12">
        <v>465</v>
      </c>
      <c r="C27" s="12">
        <v>897</v>
      </c>
      <c r="D27" s="12">
        <v>231</v>
      </c>
      <c r="E27" s="17">
        <f t="shared" si="10"/>
        <v>1593</v>
      </c>
      <c r="F27" s="12">
        <v>465</v>
      </c>
      <c r="G27" s="12">
        <v>897</v>
      </c>
      <c r="H27" s="12">
        <v>231</v>
      </c>
      <c r="I27" s="17">
        <f t="shared" si="11"/>
        <v>1593</v>
      </c>
      <c r="J27" s="12">
        <v>546</v>
      </c>
      <c r="K27" s="12">
        <v>897</v>
      </c>
      <c r="L27" s="12">
        <v>231</v>
      </c>
      <c r="M27" s="17">
        <f t="shared" si="12"/>
        <v>1674</v>
      </c>
      <c r="N27" s="12">
        <v>888</v>
      </c>
      <c r="O27" s="12">
        <v>897</v>
      </c>
      <c r="P27" s="12">
        <v>231</v>
      </c>
      <c r="Q27" s="17">
        <f t="shared" si="13"/>
        <v>2016</v>
      </c>
      <c r="S27" s="9">
        <f t="shared" si="14"/>
        <v>13752</v>
      </c>
      <c r="T27" s="7">
        <f t="shared" si="15"/>
        <v>0.15620882366304695</v>
      </c>
    </row>
    <row r="28" spans="1:20" ht="18" customHeight="1" thickTop="1" thickBot="1">
      <c r="A28" s="14" t="s">
        <v>15</v>
      </c>
      <c r="B28" s="12">
        <v>555</v>
      </c>
      <c r="C28" s="12">
        <v>945</v>
      </c>
      <c r="D28" s="12">
        <v>564</v>
      </c>
      <c r="E28" s="17">
        <f t="shared" si="10"/>
        <v>2064</v>
      </c>
      <c r="F28" s="12">
        <v>987</v>
      </c>
      <c r="G28" s="12">
        <v>945</v>
      </c>
      <c r="H28" s="12">
        <v>564</v>
      </c>
      <c r="I28" s="17">
        <f t="shared" si="11"/>
        <v>2496</v>
      </c>
      <c r="J28" s="12">
        <v>987</v>
      </c>
      <c r="K28" s="12">
        <v>945</v>
      </c>
      <c r="L28" s="12">
        <v>564</v>
      </c>
      <c r="M28" s="17">
        <f t="shared" si="12"/>
        <v>2496</v>
      </c>
      <c r="N28" s="12">
        <v>987</v>
      </c>
      <c r="O28" s="12">
        <v>945</v>
      </c>
      <c r="P28" s="12">
        <v>564</v>
      </c>
      <c r="Q28" s="17">
        <f t="shared" si="13"/>
        <v>2496</v>
      </c>
      <c r="S28" s="9">
        <f t="shared" si="14"/>
        <v>19104</v>
      </c>
      <c r="T28" s="7">
        <f>S28/$S$30</f>
        <v>0.21700213549002681</v>
      </c>
    </row>
    <row r="29" spans="1:20" ht="8.25" customHeight="1" thickTop="1" thickBot="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T29" s="7"/>
    </row>
    <row r="30" spans="1:20" ht="21" customHeight="1" thickTop="1" thickBot="1">
      <c r="A30" s="3" t="s">
        <v>28</v>
      </c>
      <c r="B30" s="9">
        <f t="shared" ref="B30:Q30" si="16">SUM(B22:B29)</f>
        <v>2040</v>
      </c>
      <c r="C30" s="9">
        <f t="shared" si="16"/>
        <v>4173</v>
      </c>
      <c r="D30" s="9">
        <f t="shared" si="16"/>
        <v>3669</v>
      </c>
      <c r="E30" s="9">
        <f t="shared" si="16"/>
        <v>9882</v>
      </c>
      <c r="F30" s="9">
        <f t="shared" si="16"/>
        <v>3027</v>
      </c>
      <c r="G30" s="9">
        <f t="shared" si="16"/>
        <v>4198</v>
      </c>
      <c r="H30" s="9">
        <f t="shared" si="16"/>
        <v>3669</v>
      </c>
      <c r="I30" s="9">
        <f t="shared" si="16"/>
        <v>10894</v>
      </c>
      <c r="J30" s="9">
        <f t="shared" si="16"/>
        <v>2877</v>
      </c>
      <c r="K30" s="9">
        <f t="shared" si="16"/>
        <v>4198</v>
      </c>
      <c r="L30" s="9">
        <f t="shared" si="16"/>
        <v>3669</v>
      </c>
      <c r="M30" s="9">
        <f t="shared" si="16"/>
        <v>10744</v>
      </c>
      <c r="N30" s="9">
        <f t="shared" si="16"/>
        <v>4221</v>
      </c>
      <c r="O30" s="9">
        <f t="shared" si="16"/>
        <v>4608</v>
      </c>
      <c r="P30" s="9">
        <f t="shared" si="16"/>
        <v>3669</v>
      </c>
      <c r="Q30" s="9">
        <f t="shared" si="16"/>
        <v>12498</v>
      </c>
      <c r="S30" s="9">
        <f>SUM(B30:R30)</f>
        <v>88036</v>
      </c>
      <c r="T30" s="7">
        <f>S30/$S$30</f>
        <v>1</v>
      </c>
    </row>
    <row r="31" spans="1:20" ht="21" customHeight="1" thickTop="1" thickBot="1">
      <c r="A31" s="3" t="s">
        <v>29</v>
      </c>
      <c r="B31" s="9">
        <f>AVERAGE(B22:B28)</f>
        <v>291.42857142857144</v>
      </c>
      <c r="C31" s="9">
        <f t="shared" ref="C31:S31" si="17">AVERAGE(C22:C28)</f>
        <v>596.14285714285711</v>
      </c>
      <c r="D31" s="9">
        <f t="shared" si="17"/>
        <v>524.14285714285711</v>
      </c>
      <c r="E31" s="19"/>
      <c r="F31" s="9">
        <f t="shared" si="17"/>
        <v>432.42857142857144</v>
      </c>
      <c r="G31" s="9">
        <f t="shared" si="17"/>
        <v>599.71428571428567</v>
      </c>
      <c r="H31" s="9">
        <f t="shared" si="17"/>
        <v>524.14285714285711</v>
      </c>
      <c r="I31" s="19"/>
      <c r="J31" s="9">
        <f t="shared" si="17"/>
        <v>411</v>
      </c>
      <c r="K31" s="9">
        <f t="shared" si="17"/>
        <v>599.71428571428567</v>
      </c>
      <c r="L31" s="9">
        <f t="shared" si="17"/>
        <v>524.14285714285711</v>
      </c>
      <c r="M31" s="19"/>
      <c r="N31" s="9">
        <f t="shared" si="17"/>
        <v>603</v>
      </c>
      <c r="O31" s="9">
        <f t="shared" si="17"/>
        <v>658.28571428571433</v>
      </c>
      <c r="P31" s="9">
        <f>AVERAGE(P22:P28)</f>
        <v>524.14285714285711</v>
      </c>
      <c r="Q31" s="19"/>
      <c r="S31" s="9">
        <f t="shared" si="17"/>
        <v>12576.571428571429</v>
      </c>
      <c r="T31" s="7">
        <f>S31/$S$30</f>
        <v>0.14285714285714288</v>
      </c>
    </row>
    <row r="32" spans="1:20" ht="21" customHeight="1" thickTop="1" thickBot="1">
      <c r="A32" s="3" t="s">
        <v>35</v>
      </c>
      <c r="B32" s="9">
        <f>MAX(B22:B28)</f>
        <v>555</v>
      </c>
      <c r="C32" s="9">
        <f t="shared" ref="C32:Q32" si="18">MAX(C22:C28)</f>
        <v>987</v>
      </c>
      <c r="D32" s="9">
        <f t="shared" si="18"/>
        <v>897</v>
      </c>
      <c r="E32" s="9">
        <f t="shared" si="18"/>
        <v>2064</v>
      </c>
      <c r="F32" s="9">
        <f t="shared" si="18"/>
        <v>987</v>
      </c>
      <c r="G32" s="9">
        <f t="shared" si="18"/>
        <v>987</v>
      </c>
      <c r="H32" s="9">
        <f t="shared" si="18"/>
        <v>897</v>
      </c>
      <c r="I32" s="9">
        <f t="shared" si="18"/>
        <v>2496</v>
      </c>
      <c r="J32" s="9">
        <f t="shared" si="18"/>
        <v>987</v>
      </c>
      <c r="K32" s="9">
        <f t="shared" si="18"/>
        <v>987</v>
      </c>
      <c r="L32" s="9">
        <f t="shared" si="18"/>
        <v>897</v>
      </c>
      <c r="M32" s="9">
        <f t="shared" si="18"/>
        <v>2496</v>
      </c>
      <c r="N32" s="9">
        <f t="shared" si="18"/>
        <v>987</v>
      </c>
      <c r="O32" s="9">
        <f t="shared" si="18"/>
        <v>987</v>
      </c>
      <c r="P32" s="9">
        <f t="shared" si="18"/>
        <v>897</v>
      </c>
      <c r="Q32" s="9">
        <f t="shared" si="18"/>
        <v>2661</v>
      </c>
      <c r="S32" s="9">
        <f t="shared" ref="S32:T32" si="19">MAX(S22:S28)</f>
        <v>19104</v>
      </c>
      <c r="T32" s="7">
        <f t="shared" si="19"/>
        <v>0.21700213549002681</v>
      </c>
    </row>
    <row r="33" spans="1:20" ht="21" customHeight="1" thickTop="1" thickBot="1">
      <c r="A33" s="3" t="s">
        <v>40</v>
      </c>
      <c r="B33" s="9">
        <f>MIN(B22:B28)</f>
        <v>111</v>
      </c>
      <c r="C33" s="9">
        <f t="shared" ref="C33:T33" si="20">MIN(C22:C28)</f>
        <v>111</v>
      </c>
      <c r="D33" s="9">
        <f t="shared" si="20"/>
        <v>213</v>
      </c>
      <c r="E33" s="9">
        <f t="shared" si="20"/>
        <v>669</v>
      </c>
      <c r="F33" s="9">
        <f t="shared" si="20"/>
        <v>123</v>
      </c>
      <c r="G33" s="9">
        <f t="shared" si="20"/>
        <v>123</v>
      </c>
      <c r="H33" s="9">
        <f t="shared" si="20"/>
        <v>213</v>
      </c>
      <c r="I33" s="9">
        <f t="shared" si="20"/>
        <v>823</v>
      </c>
      <c r="J33" s="9">
        <f t="shared" si="20"/>
        <v>123</v>
      </c>
      <c r="K33" s="9">
        <f t="shared" si="20"/>
        <v>123</v>
      </c>
      <c r="L33" s="9">
        <f t="shared" si="20"/>
        <v>213</v>
      </c>
      <c r="M33" s="9">
        <f t="shared" si="20"/>
        <v>459</v>
      </c>
      <c r="N33" s="9">
        <f t="shared" si="20"/>
        <v>123</v>
      </c>
      <c r="O33" s="9">
        <f t="shared" si="20"/>
        <v>123</v>
      </c>
      <c r="P33" s="9">
        <f t="shared" si="20"/>
        <v>213</v>
      </c>
      <c r="Q33" s="9">
        <f t="shared" si="20"/>
        <v>882</v>
      </c>
      <c r="S33" s="9">
        <f t="shared" si="20"/>
        <v>6246</v>
      </c>
      <c r="T33" s="7">
        <f t="shared" si="20"/>
        <v>7.0948248443818432E-2</v>
      </c>
    </row>
    <row r="34" spans="1:20" ht="38.25" customHeight="1" thickTop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S34" s="29"/>
      <c r="T34" s="30"/>
    </row>
    <row r="35" spans="1:20" ht="34.5" customHeight="1" thickBot="1">
      <c r="A35" s="33" t="s">
        <v>41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</row>
    <row r="36" spans="1:20" ht="33.75" customHeight="1" thickTop="1" thickBot="1">
      <c r="A36" s="20" t="s">
        <v>37</v>
      </c>
      <c r="B36" s="22">
        <f>B13+B30</f>
        <v>4836</v>
      </c>
      <c r="C36" s="22">
        <f t="shared" ref="C36:S36" si="21">C13+C30</f>
        <v>8371</v>
      </c>
      <c r="D36" s="22">
        <f t="shared" si="21"/>
        <v>7338</v>
      </c>
      <c r="E36" s="22">
        <f t="shared" si="21"/>
        <v>20545</v>
      </c>
      <c r="F36" s="22">
        <f t="shared" si="21"/>
        <v>5823</v>
      </c>
      <c r="G36" s="22">
        <f t="shared" si="21"/>
        <v>8396</v>
      </c>
      <c r="H36" s="22">
        <f t="shared" si="21"/>
        <v>7338</v>
      </c>
      <c r="I36" s="22">
        <f t="shared" si="21"/>
        <v>21557</v>
      </c>
      <c r="J36" s="22">
        <f t="shared" si="21"/>
        <v>5673</v>
      </c>
      <c r="K36" s="22">
        <f t="shared" si="21"/>
        <v>8396</v>
      </c>
      <c r="L36" s="22">
        <f t="shared" si="21"/>
        <v>7338</v>
      </c>
      <c r="M36" s="22">
        <f t="shared" si="21"/>
        <v>21407</v>
      </c>
      <c r="N36" s="22">
        <f t="shared" si="21"/>
        <v>7017</v>
      </c>
      <c r="O36" s="22">
        <f t="shared" si="21"/>
        <v>8806</v>
      </c>
      <c r="P36" s="22">
        <f t="shared" si="21"/>
        <v>7338</v>
      </c>
      <c r="Q36" s="22">
        <f t="shared" si="21"/>
        <v>23161</v>
      </c>
      <c r="R36" s="21"/>
      <c r="S36" s="22">
        <f t="shared" si="21"/>
        <v>173340</v>
      </c>
      <c r="T36" s="23">
        <f>S30/S36+S13/S36</f>
        <v>1</v>
      </c>
    </row>
    <row r="37" spans="1:20" ht="33.75" customHeight="1" thickTop="1" thickBot="1">
      <c r="A37" s="20" t="s">
        <v>36</v>
      </c>
      <c r="B37" s="22">
        <f>AVERAGE(B31,B14)</f>
        <v>345.42857142857144</v>
      </c>
      <c r="C37" s="22">
        <f>AVERAGE(C31,C14)</f>
        <v>597.92857142857133</v>
      </c>
      <c r="D37" s="22">
        <f>AVERAGE(D31,D14)</f>
        <v>524.14285714285711</v>
      </c>
      <c r="E37" s="22"/>
      <c r="F37" s="22">
        <f>AVERAGE(F31,F14)</f>
        <v>415.92857142857144</v>
      </c>
      <c r="G37" s="22">
        <f>AVERAGE(G31,G14)</f>
        <v>599.71428571428567</v>
      </c>
      <c r="H37" s="22">
        <f>AVERAGE(H31,H14)</f>
        <v>524.14285714285711</v>
      </c>
      <c r="I37" s="22"/>
      <c r="J37" s="22">
        <f>AVERAGE(J31,J14)</f>
        <v>405.21428571428572</v>
      </c>
      <c r="K37" s="22">
        <f>AVERAGE(K31,K14)</f>
        <v>599.71428571428567</v>
      </c>
      <c r="L37" s="22">
        <f>AVERAGE(L31,L14)</f>
        <v>524.14285714285711</v>
      </c>
      <c r="M37" s="22"/>
      <c r="N37" s="22">
        <f>AVERAGE(N31,N14)</f>
        <v>501.21428571428572</v>
      </c>
      <c r="O37" s="22">
        <f>AVERAGE(O31,O14)</f>
        <v>629</v>
      </c>
      <c r="P37" s="22">
        <f>AVERAGE(P31,P14)</f>
        <v>524.14285714285711</v>
      </c>
      <c r="Q37" s="22"/>
      <c r="R37" s="21"/>
      <c r="S37" s="22">
        <f>AVERAGE(S31,S14)</f>
        <v>11782.285714285714</v>
      </c>
      <c r="T37" s="23">
        <f>S31/S37+S14/S37</f>
        <v>2</v>
      </c>
    </row>
    <row r="38" spans="1:20" ht="33.75" customHeight="1" thickTop="1" thickBot="1">
      <c r="A38" s="20" t="s">
        <v>38</v>
      </c>
      <c r="B38" s="22">
        <f>MAX(B15,B32)</f>
        <v>987</v>
      </c>
      <c r="C38" s="22">
        <f t="shared" ref="C38:S38" si="22">MAX(C15,C32)</f>
        <v>987</v>
      </c>
      <c r="D38" s="22">
        <f t="shared" si="22"/>
        <v>897</v>
      </c>
      <c r="E38" s="22">
        <f t="shared" si="22"/>
        <v>2496</v>
      </c>
      <c r="F38" s="22">
        <f t="shared" si="22"/>
        <v>987</v>
      </c>
      <c r="G38" s="22">
        <f t="shared" si="22"/>
        <v>987</v>
      </c>
      <c r="H38" s="22">
        <f t="shared" si="22"/>
        <v>897</v>
      </c>
      <c r="I38" s="22">
        <f t="shared" si="22"/>
        <v>2496</v>
      </c>
      <c r="J38" s="22">
        <f t="shared" si="22"/>
        <v>987</v>
      </c>
      <c r="K38" s="22">
        <f t="shared" si="22"/>
        <v>987</v>
      </c>
      <c r="L38" s="22">
        <f t="shared" si="22"/>
        <v>897</v>
      </c>
      <c r="M38" s="22">
        <f t="shared" si="22"/>
        <v>2496</v>
      </c>
      <c r="N38" s="22">
        <f t="shared" si="22"/>
        <v>987</v>
      </c>
      <c r="O38" s="22">
        <f t="shared" si="22"/>
        <v>987</v>
      </c>
      <c r="P38" s="22">
        <f t="shared" si="22"/>
        <v>897</v>
      </c>
      <c r="Q38" s="22">
        <f t="shared" si="22"/>
        <v>2661</v>
      </c>
      <c r="R38" s="21"/>
      <c r="S38" s="22">
        <f t="shared" si="22"/>
        <v>19968</v>
      </c>
      <c r="T38" s="23">
        <f>S32/S38+S15/S38</f>
        <v>1.9567307692307692</v>
      </c>
    </row>
    <row r="39" spans="1:20" ht="33.75" customHeight="1" thickTop="1" thickBot="1">
      <c r="A39" s="20" t="s">
        <v>39</v>
      </c>
      <c r="B39" s="22">
        <f>MIN(B33,B16)</f>
        <v>111</v>
      </c>
      <c r="C39" s="22">
        <f t="shared" ref="C39:S39" si="23">MIN(C33,C16)</f>
        <v>111</v>
      </c>
      <c r="D39" s="22">
        <f t="shared" si="23"/>
        <v>213</v>
      </c>
      <c r="E39" s="22">
        <f t="shared" si="23"/>
        <v>669</v>
      </c>
      <c r="F39" s="22">
        <f t="shared" si="23"/>
        <v>123</v>
      </c>
      <c r="G39" s="22">
        <f t="shared" si="23"/>
        <v>123</v>
      </c>
      <c r="H39" s="22">
        <f t="shared" si="23"/>
        <v>213</v>
      </c>
      <c r="I39" s="22">
        <f t="shared" si="23"/>
        <v>823</v>
      </c>
      <c r="J39" s="22">
        <f t="shared" si="23"/>
        <v>123</v>
      </c>
      <c r="K39" s="22">
        <f t="shared" si="23"/>
        <v>123</v>
      </c>
      <c r="L39" s="22">
        <f t="shared" si="23"/>
        <v>213</v>
      </c>
      <c r="M39" s="22">
        <f t="shared" si="23"/>
        <v>459</v>
      </c>
      <c r="N39" s="22">
        <f t="shared" si="23"/>
        <v>123</v>
      </c>
      <c r="O39" s="22">
        <f t="shared" si="23"/>
        <v>123</v>
      </c>
      <c r="P39" s="22">
        <f t="shared" si="23"/>
        <v>213</v>
      </c>
      <c r="Q39" s="22">
        <f t="shared" si="23"/>
        <v>823</v>
      </c>
      <c r="R39" s="21"/>
      <c r="S39" s="22">
        <f t="shared" si="23"/>
        <v>6246</v>
      </c>
      <c r="T39" s="23">
        <f>S33/S39+S16/S39</f>
        <v>2.0541146333653542</v>
      </c>
    </row>
    <row r="40" spans="1:20" ht="15.75" thickTop="1"/>
    <row r="42" spans="1:20">
      <c r="K42" s="18"/>
    </row>
  </sheetData>
  <mergeCells count="1">
    <mergeCell ref="A35:T35"/>
  </mergeCells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2015-07-20T04:42:37Z</dcterms:modified>
</cp:coreProperties>
</file>